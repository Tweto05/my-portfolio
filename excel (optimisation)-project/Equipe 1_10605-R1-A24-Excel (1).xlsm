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hecmtl-my.sharepoint.com/personal/estha_tshiya-wamonakeba_hec_ca/Documents/GitHub/my-portfolio/excel (optimisation)-project/"/>
    </mc:Choice>
  </mc:AlternateContent>
  <xr:revisionPtr revIDLastSave="0" documentId="8_{07B9B996-6614-461C-8D5C-23AC7D608159}" xr6:coauthVersionLast="47" xr6:coauthVersionMax="47" xr10:uidLastSave="{00000000-0000-0000-0000-000000000000}"/>
  <bookViews>
    <workbookView xWindow="-98" yWindow="-98" windowWidth="23236" windowHeight="14595" xr2:uid="{505A8085-9A04-E04B-B33D-F4383D831BFE}"/>
  </bookViews>
  <sheets>
    <sheet name="Identification" sheetId="2" r:id="rId1"/>
    <sheet name="Données" sheetId="36" r:id="rId2"/>
    <sheet name="Données du Modèle" sheetId="39" r:id="rId3"/>
    <sheet name="Option 1" sheetId="37" r:id="rId4"/>
    <sheet name="Option 2" sheetId="38" r:id="rId5"/>
    <sheet name="Comparaison" sheetId="41" r:id="rId6"/>
    <sheet name="Diagrammes et Graphiques" sheetId="43" r:id="rId7"/>
    <sheet name="TCD" sheetId="42" r:id="rId8"/>
    <sheet name="Liste" sheetId="27" state="veryHidden" r:id="rId9"/>
    <sheet name="Grille de correction" sheetId="46" r:id="rId10"/>
  </sheets>
  <externalReferences>
    <externalReference r:id="rId11"/>
  </externalReferences>
  <definedNames>
    <definedName name="_xlnm._FilterDatabase" localSheetId="8" hidden="1">Liste!$B$1:$E$1501</definedName>
    <definedName name="_xlchart.v1.0" hidden="1">Comparaison!$J$5:$J$64</definedName>
    <definedName name="_xlchart.v1.1" hidden="1">Comparaison!$X$5:$X$64</definedName>
    <definedName name="_xleta.MIN" hidden="1" xlm="1">#NAME?</definedName>
    <definedName name="_xleta.SUMPRODUCT" hidden="1" xlm="1">#NAME?</definedName>
    <definedName name="_xlpm.W" hidden="1" xlm="1">#NAME?</definedName>
    <definedName name="_xlpm.X" hidden="1" xlm="1">#NAME?</definedName>
    <definedName name="_xlpm.Y" hidden="1" xlm="1">#NAME?</definedName>
    <definedName name="_xlpm.Z" hidden="1" xlm="1">#NAME?</definedName>
    <definedName name="Liste">Liste!$C$2:$E$1751</definedName>
    <definedName name="ListeSymboles">[1]Calculs!$AG$37:$AG$42</definedName>
    <definedName name="Macro_Erase" localSheetId="8">Liste!$J$1</definedName>
    <definedName name="solver_adj" localSheetId="3" hidden="1">'Option 1'!$B$49:$U$58</definedName>
    <definedName name="solver_adj" localSheetId="4" hidden="1">'Option 2'!$B$50:$U$59</definedName>
    <definedName name="solver_cvg" localSheetId="3" hidden="1">0.0001</definedName>
    <definedName name="solver_cvg" localSheetId="4" hidden="1">0.0001</definedName>
    <definedName name="solver_drv" localSheetId="3" hidden="1">1</definedName>
    <definedName name="solver_drv" localSheetId="4" hidden="1">2</definedName>
    <definedName name="solver_eng" localSheetId="1" hidden="1">1</definedName>
    <definedName name="solver_eng" localSheetId="3" hidden="1">2</definedName>
    <definedName name="solver_eng" localSheetId="4" hidden="1">2</definedName>
    <definedName name="solver_est" localSheetId="3" hidden="1">1</definedName>
    <definedName name="solver_est" localSheetId="4" hidden="1">1</definedName>
    <definedName name="solver_itr" localSheetId="3" hidden="1">2147483647</definedName>
    <definedName name="solver_itr" localSheetId="4" hidden="1">2147483647</definedName>
    <definedName name="solver_lhs1" localSheetId="3" hidden="1">'Option 1'!$B$49:$U$58</definedName>
    <definedName name="solver_lhs1" localSheetId="4" hidden="1">'Option 2'!$B$50:$L$50</definedName>
    <definedName name="solver_lhs10" localSheetId="3" hidden="1">'Option 1'!$E$63</definedName>
    <definedName name="solver_lhs10" localSheetId="4" hidden="1">'Option 2'!$S$50:$U$50</definedName>
    <definedName name="solver_lhs11" localSheetId="3" hidden="1">'Option 1'!$V$49:$V$58</definedName>
    <definedName name="solver_lhs11" localSheetId="4" hidden="1">'Option 2'!$S$59:$U$59</definedName>
    <definedName name="solver_lhs12" localSheetId="4" hidden="1">'Option 2'!$V$50:$V$59</definedName>
    <definedName name="solver_lhs2" localSheetId="3" hidden="1">'Option 1'!$B$49:$U$58</definedName>
    <definedName name="solver_lhs2" localSheetId="4" hidden="1">'Option 2'!$B$50:$U$59</definedName>
    <definedName name="solver_lhs3" localSheetId="3" hidden="1">'Option 1'!$B$59:$U$59</definedName>
    <definedName name="solver_lhs3" localSheetId="4" hidden="1">'Option 2'!$B$50:$U$59</definedName>
    <definedName name="solver_lhs4" localSheetId="3" hidden="1">'Option 1'!$B$59:$U$59</definedName>
    <definedName name="solver_lhs4" localSheetId="4" hidden="1">'Option 2'!$B$53:$L$53</definedName>
    <definedName name="solver_lhs5" localSheetId="3" hidden="1">'Option 1'!$E$61</definedName>
    <definedName name="solver_lhs5" localSheetId="4" hidden="1">'Option 2'!$B$59:$L$59</definedName>
    <definedName name="solver_lhs6" localSheetId="3" hidden="1">'Option 1'!$E$61</definedName>
    <definedName name="solver_lhs6" localSheetId="4" hidden="1">'Option 2'!$B$60:$U$60</definedName>
    <definedName name="solver_lhs7" localSheetId="3" hidden="1">'Option 1'!$E$62</definedName>
    <definedName name="solver_lhs7" localSheetId="4" hidden="1">'Option 2'!$B$60:$U$60</definedName>
    <definedName name="solver_lhs8" localSheetId="3" hidden="1">'Option 1'!$E$62</definedName>
    <definedName name="solver_lhs8" localSheetId="4" hidden="1">'Option 2'!$M$51:$R$52</definedName>
    <definedName name="solver_lhs9" localSheetId="3" hidden="1">'Option 1'!$E$63</definedName>
    <definedName name="solver_lhs9" localSheetId="4" hidden="1">'Option 2'!$M$54:$R$58</definedName>
    <definedName name="solver_lin" localSheetId="1" hidden="1">2</definedName>
    <definedName name="solver_mip" localSheetId="3" hidden="1">2147483647</definedName>
    <definedName name="solver_mip" localSheetId="4" hidden="1">2147483647</definedName>
    <definedName name="solver_mni" localSheetId="3" hidden="1">30</definedName>
    <definedName name="solver_mni" localSheetId="4" hidden="1">30</definedName>
    <definedName name="solver_mrt" localSheetId="3" hidden="1">0.075</definedName>
    <definedName name="solver_mrt" localSheetId="4" hidden="1">0.075</definedName>
    <definedName name="solver_msl" localSheetId="3" hidden="1">2</definedName>
    <definedName name="solver_msl" localSheetId="4" hidden="1">2</definedName>
    <definedName name="solver_neg" localSheetId="1" hidden="1">1</definedName>
    <definedName name="solver_neg" localSheetId="3" hidden="1">1</definedName>
    <definedName name="solver_neg" localSheetId="4" hidden="1">1</definedName>
    <definedName name="solver_nod" localSheetId="3" hidden="1">2147483647</definedName>
    <definedName name="solver_nod" localSheetId="4" hidden="1">2147483647</definedName>
    <definedName name="solver_num" localSheetId="1" hidden="1">0</definedName>
    <definedName name="solver_num" localSheetId="3" hidden="1">11</definedName>
    <definedName name="solver_num" localSheetId="4" hidden="1">12</definedName>
    <definedName name="solver_nwt" localSheetId="3" hidden="1">1</definedName>
    <definedName name="solver_nwt" localSheetId="4" hidden="1">1</definedName>
    <definedName name="solver_opt" localSheetId="1" hidden="1">Données!$W$24</definedName>
    <definedName name="solver_opt" localSheetId="3" hidden="1">'Option 1'!$A$66</definedName>
    <definedName name="solver_opt" localSheetId="4" hidden="1">'Option 2'!$A$67</definedName>
    <definedName name="solver_pre" localSheetId="3" hidden="1">0.000001</definedName>
    <definedName name="solver_pre" localSheetId="4" hidden="1">0.000001</definedName>
    <definedName name="solver_rbv" localSheetId="3" hidden="1">1</definedName>
    <definedName name="solver_rbv" localSheetId="4" hidden="1">2</definedName>
    <definedName name="solver_rel1" localSheetId="3" hidden="1">1</definedName>
    <definedName name="solver_rel1" localSheetId="4" hidden="1">2</definedName>
    <definedName name="solver_rel10" localSheetId="3" hidden="1">3</definedName>
    <definedName name="solver_rel10" localSheetId="4" hidden="1">2</definedName>
    <definedName name="solver_rel11" localSheetId="3" hidden="1">2</definedName>
    <definedName name="solver_rel11" localSheetId="4" hidden="1">2</definedName>
    <definedName name="solver_rel12" localSheetId="4" hidden="1">2</definedName>
    <definedName name="solver_rel2" localSheetId="3" hidden="1">4</definedName>
    <definedName name="solver_rel2" localSheetId="4" hidden="1">1</definedName>
    <definedName name="solver_rel3" localSheetId="3" hidden="1">1</definedName>
    <definedName name="solver_rel3" localSheetId="4" hidden="1">4</definedName>
    <definedName name="solver_rel4" localSheetId="3" hidden="1">3</definedName>
    <definedName name="solver_rel4" localSheetId="4" hidden="1">2</definedName>
    <definedName name="solver_rel5" localSheetId="3" hidden="1">1</definedName>
    <definedName name="solver_rel5" localSheetId="4" hidden="1">2</definedName>
    <definedName name="solver_rel6" localSheetId="3" hidden="1">3</definedName>
    <definedName name="solver_rel6" localSheetId="4" hidden="1">1</definedName>
    <definedName name="solver_rel7" localSheetId="3" hidden="1">1</definedName>
    <definedName name="solver_rel7" localSheetId="4" hidden="1">3</definedName>
    <definedName name="solver_rel8" localSheetId="3" hidden="1">3</definedName>
    <definedName name="solver_rel8" localSheetId="4" hidden="1">2</definedName>
    <definedName name="solver_rel9" localSheetId="3" hidden="1">1</definedName>
    <definedName name="solver_rel9" localSheetId="4" hidden="1">2</definedName>
    <definedName name="solver_rhs1" localSheetId="3" hidden="1">'Option 1'!$F$7</definedName>
    <definedName name="solver_rhs1" localSheetId="4" hidden="1">0</definedName>
    <definedName name="solver_rhs10" localSheetId="3" hidden="1">'Option 1'!$G$63</definedName>
    <definedName name="solver_rhs10" localSheetId="4" hidden="1">0</definedName>
    <definedName name="solver_rhs11" localSheetId="3" hidden="1">'Option 1'!$F$4</definedName>
    <definedName name="solver_rhs11" localSheetId="4" hidden="1">0</definedName>
    <definedName name="solver_rhs12" localSheetId="4" hidden="1">'Option 2'!$F$4</definedName>
    <definedName name="solver_rhs2" localSheetId="3" hidden="1">"entier"</definedName>
    <definedName name="solver_rhs2" localSheetId="4" hidden="1">'Option 2'!$F$7</definedName>
    <definedName name="solver_rhs3" localSheetId="3" hidden="1">'Option 1'!$F$6</definedName>
    <definedName name="solver_rhs3" localSheetId="4" hidden="1">"entier"</definedName>
    <definedName name="solver_rhs4" localSheetId="3" hidden="1">'Option 1'!$F$5</definedName>
    <definedName name="solver_rhs4" localSheetId="4" hidden="1">0</definedName>
    <definedName name="solver_rhs5" localSheetId="3" hidden="1">'Option 1'!$I$61</definedName>
    <definedName name="solver_rhs5" localSheetId="4" hidden="1">0</definedName>
    <definedName name="solver_rhs6" localSheetId="3" hidden="1">'Option 1'!$G$61</definedName>
    <definedName name="solver_rhs6" localSheetId="4" hidden="1">'Option 2'!$F$6</definedName>
    <definedName name="solver_rhs7" localSheetId="3" hidden="1">'Option 1'!$I$62</definedName>
    <definedName name="solver_rhs7" localSheetId="4" hidden="1">'Option 2'!$F$5</definedName>
    <definedName name="solver_rhs8" localSheetId="3" hidden="1">'Option 1'!$G$62</definedName>
    <definedName name="solver_rhs8" localSheetId="4" hidden="1">0</definedName>
    <definedName name="solver_rhs9" localSheetId="3" hidden="1">'Option 1'!$I$63</definedName>
    <definedName name="solver_rhs9" localSheetId="4" hidden="1">0</definedName>
    <definedName name="solver_rlx" localSheetId="3" hidden="1">2</definedName>
    <definedName name="solver_rlx" localSheetId="4" hidden="1">2</definedName>
    <definedName name="solver_rsd" localSheetId="3" hidden="1">0</definedName>
    <definedName name="solver_rsd" localSheetId="4" hidden="1">0</definedName>
    <definedName name="solver_scl" localSheetId="3" hidden="1">1</definedName>
    <definedName name="solver_scl" localSheetId="4" hidden="1">2</definedName>
    <definedName name="solver_sho" localSheetId="3" hidden="1">2</definedName>
    <definedName name="solver_sho" localSheetId="4" hidden="1">2</definedName>
    <definedName name="solver_ssz" localSheetId="3" hidden="1">100</definedName>
    <definedName name="solver_ssz" localSheetId="4" hidden="1">100</definedName>
    <definedName name="solver_tim" localSheetId="3" hidden="1">2147483647</definedName>
    <definedName name="solver_tim" localSheetId="4" hidden="1">2147483647</definedName>
    <definedName name="solver_tol" localSheetId="3" hidden="1">0</definedName>
    <definedName name="solver_tol" localSheetId="4" hidden="1">0.01</definedName>
    <definedName name="solver_typ" localSheetId="1" hidden="1">1</definedName>
    <definedName name="solver_typ" localSheetId="3" hidden="1">1</definedName>
    <definedName name="solver_typ" localSheetId="4" hidden="1">1</definedName>
    <definedName name="solver_val" localSheetId="1" hidden="1">0</definedName>
    <definedName name="solver_val" localSheetId="3" hidden="1">0</definedName>
    <definedName name="solver_val" localSheetId="4" hidden="1">0</definedName>
    <definedName name="solver_ver" localSheetId="1" hidden="1">2</definedName>
    <definedName name="solver_ver" localSheetId="3" hidden="1">3</definedName>
    <definedName name="solver_ver" localSheetId="4" hidden="1">3</definedName>
  </definedNames>
  <calcPr calcId="191028"/>
  <pivotCaches>
    <pivotCache cacheId="0" r:id="rId12"/>
    <pivotCache cacheId="1" r:id="rId13"/>
    <pivotCache cacheId="2" r:id="rId14"/>
    <pivotCache cacheId="3"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5" i="46" l="1"/>
  <c r="A66" i="37"/>
  <c r="N76" i="43" l="1"/>
  <c r="L6" i="36"/>
  <c r="L7" i="36"/>
  <c r="L8" i="36"/>
  <c r="L9" i="36"/>
  <c r="L10" i="36"/>
  <c r="L11" i="36"/>
  <c r="L12" i="36"/>
  <c r="L13" i="36"/>
  <c r="L14" i="36"/>
  <c r="L15" i="36"/>
  <c r="L16" i="36"/>
  <c r="L17" i="36"/>
  <c r="L18" i="36"/>
  <c r="L19" i="36"/>
  <c r="L20" i="36"/>
  <c r="L21" i="36"/>
  <c r="L22" i="36"/>
  <c r="L23" i="36"/>
  <c r="L24" i="36"/>
  <c r="L5" i="36"/>
  <c r="B76" i="43"/>
  <c r="B75" i="43"/>
  <c r="B74" i="43"/>
  <c r="B73" i="43"/>
  <c r="B72" i="43"/>
  <c r="N75" i="43"/>
  <c r="N74" i="43"/>
  <c r="N73" i="43"/>
  <c r="N72" i="43"/>
  <c r="Q5" i="41" a="1"/>
  <c r="Q5" i="41" s="1"/>
  <c r="V5" i="41" a="1"/>
  <c r="V5" i="41" s="1"/>
  <c r="V6" i="41" a="1"/>
  <c r="V6" i="41" s="1"/>
  <c r="V7" i="41" a="1"/>
  <c r="V7" i="41" s="1"/>
  <c r="V8" i="41" a="1"/>
  <c r="V8" i="41" s="1"/>
  <c r="V9" i="41" a="1"/>
  <c r="V9" i="41" s="1"/>
  <c r="V10" i="41" a="1"/>
  <c r="V10" i="41" s="1"/>
  <c r="V11" i="41" a="1"/>
  <c r="V11" i="41" s="1"/>
  <c r="V12" i="41" a="1"/>
  <c r="V12" i="41" s="1"/>
  <c r="V13" i="41" a="1"/>
  <c r="V13" i="41" s="1"/>
  <c r="V14" i="41" a="1"/>
  <c r="V14" i="41" s="1"/>
  <c r="V15" i="41" a="1"/>
  <c r="V15" i="41" s="1"/>
  <c r="V16" i="41" a="1"/>
  <c r="V16" i="41" s="1"/>
  <c r="V17" i="41" a="1"/>
  <c r="V17" i="41" s="1"/>
  <c r="V18" i="41" a="1"/>
  <c r="V18" i="41" s="1"/>
  <c r="V19" i="41" a="1"/>
  <c r="V19" i="41" s="1"/>
  <c r="V20" i="41" a="1"/>
  <c r="V20" i="41" s="1"/>
  <c r="V21" i="41" a="1"/>
  <c r="V21" i="41" s="1"/>
  <c r="V22" i="41" a="1"/>
  <c r="V22" i="41" s="1"/>
  <c r="V23" i="41" a="1"/>
  <c r="V23" i="41" s="1"/>
  <c r="V24" i="41" a="1"/>
  <c r="V24" i="41" s="1"/>
  <c r="V25" i="41" a="1"/>
  <c r="V25" i="41" s="1"/>
  <c r="V26" i="41" a="1"/>
  <c r="V26" i="41" s="1"/>
  <c r="V27" i="41" a="1"/>
  <c r="V27" i="41" s="1"/>
  <c r="V28" i="41" a="1"/>
  <c r="V28" i="41" s="1"/>
  <c r="V29" i="41" a="1"/>
  <c r="V29" i="41" s="1"/>
  <c r="V30" i="41" a="1"/>
  <c r="V30" i="41" s="1"/>
  <c r="V31" i="41" a="1"/>
  <c r="V31" i="41" s="1"/>
  <c r="V32" i="41" a="1"/>
  <c r="V32" i="41" s="1"/>
  <c r="V33" i="41" a="1"/>
  <c r="V33" i="41" s="1"/>
  <c r="V34" i="41" a="1"/>
  <c r="V34" i="41" s="1"/>
  <c r="V35" i="41" a="1"/>
  <c r="V35" i="41" s="1"/>
  <c r="V36" i="41" a="1"/>
  <c r="V36" i="41" s="1"/>
  <c r="V37" i="41" a="1"/>
  <c r="V37" i="41" s="1"/>
  <c r="V38" i="41" a="1"/>
  <c r="V38" i="41" s="1"/>
  <c r="V39" i="41" a="1"/>
  <c r="V39" i="41" s="1"/>
  <c r="V40" i="41" a="1"/>
  <c r="V40" i="41" s="1"/>
  <c r="V41" i="41" a="1"/>
  <c r="V41" i="41" s="1"/>
  <c r="V42" i="41" a="1"/>
  <c r="V42" i="41" s="1"/>
  <c r="V43" i="41" a="1"/>
  <c r="V43" i="41" s="1"/>
  <c r="V44" i="41" a="1"/>
  <c r="V44" i="41" s="1"/>
  <c r="V45" i="41" a="1"/>
  <c r="V45" i="41" s="1"/>
  <c r="V46" i="41" a="1"/>
  <c r="V46" i="41" s="1"/>
  <c r="V47" i="41" a="1"/>
  <c r="V47" i="41" s="1"/>
  <c r="V48" i="41" a="1"/>
  <c r="V48" i="41" s="1"/>
  <c r="V49" i="41" a="1"/>
  <c r="V49" i="41" s="1"/>
  <c r="V50" i="41" a="1"/>
  <c r="V50" i="41" s="1"/>
  <c r="V51" i="41" a="1"/>
  <c r="V51" i="41" s="1"/>
  <c r="V52" i="41" a="1"/>
  <c r="V52" i="41" s="1"/>
  <c r="V53" i="41" a="1"/>
  <c r="V53" i="41" s="1"/>
  <c r="V54" i="41" a="1"/>
  <c r="V54" i="41" s="1"/>
  <c r="V55" i="41" a="1"/>
  <c r="V55" i="41" s="1"/>
  <c r="V56" i="41" a="1"/>
  <c r="V56" i="41" s="1"/>
  <c r="V57" i="41" a="1"/>
  <c r="V57" i="41" s="1"/>
  <c r="V58" i="41" a="1"/>
  <c r="V58" i="41" s="1"/>
  <c r="V59" i="41" a="1"/>
  <c r="V59" i="41" s="1"/>
  <c r="V60" i="41" a="1"/>
  <c r="V60" i="41" s="1"/>
  <c r="V61" i="41" a="1"/>
  <c r="V61" i="41" s="1"/>
  <c r="V62" i="41" a="1"/>
  <c r="V62" i="41" s="1"/>
  <c r="V63" i="41" a="1"/>
  <c r="V63" i="41" s="1"/>
  <c r="V64" i="41" a="1"/>
  <c r="V64" i="41" s="1"/>
  <c r="P5" i="41" a="1"/>
  <c r="P5" i="41" s="1"/>
  <c r="Y5" i="41" s="1"/>
  <c r="U5" i="41" a="1"/>
  <c r="U5" i="41" s="1"/>
  <c r="U6" i="41" a="1"/>
  <c r="U6" i="41" s="1"/>
  <c r="U7" i="41" a="1"/>
  <c r="U7" i="41" s="1"/>
  <c r="U8" i="41" a="1"/>
  <c r="U8" i="41" s="1"/>
  <c r="U9" i="41" a="1"/>
  <c r="U9" i="41" s="1"/>
  <c r="U10" i="41" a="1"/>
  <c r="U10" i="41" s="1"/>
  <c r="U11" i="41" a="1"/>
  <c r="U11" i="41" s="1"/>
  <c r="U12" i="41" a="1"/>
  <c r="U12" i="41" s="1"/>
  <c r="U13" i="41" a="1"/>
  <c r="U13" i="41" s="1"/>
  <c r="U14" i="41" a="1"/>
  <c r="U14" i="41" s="1"/>
  <c r="U15" i="41" a="1"/>
  <c r="U15" i="41" s="1"/>
  <c r="U16" i="41" a="1"/>
  <c r="U16" i="41" s="1"/>
  <c r="U17" i="41" a="1"/>
  <c r="U17" i="41" s="1"/>
  <c r="U18" i="41" a="1"/>
  <c r="U18" i="41" s="1"/>
  <c r="U19" i="41" a="1"/>
  <c r="U19" i="41" s="1"/>
  <c r="U20" i="41" a="1"/>
  <c r="U20" i="41" s="1"/>
  <c r="U21" i="41" a="1"/>
  <c r="U21" i="41" s="1"/>
  <c r="U22" i="41" a="1"/>
  <c r="U22" i="41" s="1"/>
  <c r="U23" i="41" a="1"/>
  <c r="U23" i="41" s="1"/>
  <c r="U24" i="41" a="1"/>
  <c r="U24" i="41" s="1"/>
  <c r="U25" i="41" a="1"/>
  <c r="U25" i="41" s="1"/>
  <c r="U26" i="41" a="1"/>
  <c r="U26" i="41" s="1"/>
  <c r="U27" i="41" a="1"/>
  <c r="U27" i="41" s="1"/>
  <c r="U28" i="41" a="1"/>
  <c r="U28" i="41" s="1"/>
  <c r="U29" i="41" a="1"/>
  <c r="U29" i="41" s="1"/>
  <c r="U30" i="41" a="1"/>
  <c r="U30" i="41" s="1"/>
  <c r="U31" i="41" a="1"/>
  <c r="U31" i="41" s="1"/>
  <c r="U32" i="41" a="1"/>
  <c r="U32" i="41" s="1"/>
  <c r="U33" i="41" a="1"/>
  <c r="U33" i="41" s="1"/>
  <c r="U34" i="41" a="1"/>
  <c r="U34" i="41" s="1"/>
  <c r="U35" i="41" a="1"/>
  <c r="U35" i="41" s="1"/>
  <c r="U36" i="41" a="1"/>
  <c r="U36" i="41" s="1"/>
  <c r="U37" i="41" a="1"/>
  <c r="U37" i="41" s="1"/>
  <c r="U38" i="41" a="1"/>
  <c r="U38" i="41" s="1"/>
  <c r="U39" i="41" a="1"/>
  <c r="U39" i="41" s="1"/>
  <c r="U40" i="41" a="1"/>
  <c r="U40" i="41" s="1"/>
  <c r="U41" i="41" a="1"/>
  <c r="U41" i="41" s="1"/>
  <c r="U42" i="41" a="1"/>
  <c r="U42" i="41" s="1"/>
  <c r="U43" i="41" a="1"/>
  <c r="U43" i="41" s="1"/>
  <c r="U44" i="41" a="1"/>
  <c r="U44" i="41" s="1"/>
  <c r="U45" i="41" a="1"/>
  <c r="U45" i="41" s="1"/>
  <c r="U46" i="41" a="1"/>
  <c r="U46" i="41" s="1"/>
  <c r="U47" i="41" a="1"/>
  <c r="U47" i="41" s="1"/>
  <c r="U48" i="41" a="1"/>
  <c r="U48" i="41" s="1"/>
  <c r="U49" i="41" a="1"/>
  <c r="U49" i="41" s="1"/>
  <c r="U50" i="41" a="1"/>
  <c r="U50" i="41" s="1"/>
  <c r="U51" i="41" a="1"/>
  <c r="U51" i="41" s="1"/>
  <c r="U52" i="41" a="1"/>
  <c r="U52" i="41" s="1"/>
  <c r="U53" i="41" a="1"/>
  <c r="U53" i="41" s="1"/>
  <c r="U54" i="41" a="1"/>
  <c r="U54" i="41" s="1"/>
  <c r="U55" i="41" a="1"/>
  <c r="U55" i="41" s="1"/>
  <c r="U56" i="41" a="1"/>
  <c r="U56" i="41" s="1"/>
  <c r="U57" i="41" a="1"/>
  <c r="U57" i="41" s="1"/>
  <c r="U58" i="41" a="1"/>
  <c r="U58" i="41" s="1"/>
  <c r="U59" i="41" a="1"/>
  <c r="U59" i="41" s="1"/>
  <c r="U60" i="41" a="1"/>
  <c r="U60" i="41" s="1"/>
  <c r="U61" i="41" a="1"/>
  <c r="U61" i="41" s="1"/>
  <c r="U62" i="41" a="1"/>
  <c r="U62" i="41" s="1"/>
  <c r="U63" i="41" a="1"/>
  <c r="U63" i="41" s="1"/>
  <c r="U64" i="41" a="1"/>
  <c r="U64" i="41" s="1"/>
  <c r="P6" i="41" a="1"/>
  <c r="P6" i="41" s="1"/>
  <c r="Y6" i="41" s="1"/>
  <c r="P7" i="41" a="1"/>
  <c r="P7" i="41" s="1"/>
  <c r="Y7" i="41" s="1"/>
  <c r="P8" i="41" a="1"/>
  <c r="P8" i="41" s="1"/>
  <c r="Y8" i="41" s="1"/>
  <c r="P9" i="41" a="1"/>
  <c r="P9" i="41" s="1"/>
  <c r="Y9" i="41" s="1"/>
  <c r="P10" i="41" a="1"/>
  <c r="P10" i="41" s="1"/>
  <c r="Y10" i="41" s="1"/>
  <c r="P11" i="41" a="1"/>
  <c r="P11" i="41" s="1"/>
  <c r="Y11" i="41" s="1"/>
  <c r="P12" i="41" a="1"/>
  <c r="P12" i="41" s="1"/>
  <c r="Y12" i="41" s="1"/>
  <c r="P13" i="41" a="1"/>
  <c r="P13" i="41" s="1"/>
  <c r="Y13" i="41" s="1"/>
  <c r="P14" i="41" a="1"/>
  <c r="P14" i="41" s="1"/>
  <c r="Y14" i="41" s="1"/>
  <c r="P15" i="41" a="1"/>
  <c r="P15" i="41" s="1"/>
  <c r="Y15" i="41" s="1"/>
  <c r="P16" i="41" a="1"/>
  <c r="P16" i="41" s="1"/>
  <c r="Y16" i="41" s="1"/>
  <c r="P17" i="41" a="1"/>
  <c r="P17" i="41" s="1"/>
  <c r="Y17" i="41" s="1"/>
  <c r="P18" i="41" a="1"/>
  <c r="P18" i="41" s="1"/>
  <c r="Y18" i="41" s="1"/>
  <c r="P19" i="41" a="1"/>
  <c r="P19" i="41" s="1"/>
  <c r="Y19" i="41" s="1"/>
  <c r="P20" i="41" a="1"/>
  <c r="P20" i="41" s="1"/>
  <c r="Y20" i="41" s="1"/>
  <c r="P21" i="41" a="1"/>
  <c r="P21" i="41" s="1"/>
  <c r="Y21" i="41" s="1"/>
  <c r="P22" i="41" a="1"/>
  <c r="P22" i="41" s="1"/>
  <c r="Y22" i="41" s="1"/>
  <c r="P23" i="41" a="1"/>
  <c r="P23" i="41" s="1"/>
  <c r="Y23" i="41" s="1"/>
  <c r="P24" i="41" a="1"/>
  <c r="P24" i="41" s="1"/>
  <c r="Y24" i="41" s="1"/>
  <c r="P25" i="41" a="1"/>
  <c r="P25" i="41" s="1"/>
  <c r="Y25" i="41" s="1"/>
  <c r="P26" i="41" a="1"/>
  <c r="P26" i="41" s="1"/>
  <c r="Y26" i="41" s="1"/>
  <c r="P27" i="41" a="1"/>
  <c r="P27" i="41" s="1"/>
  <c r="Y27" i="41" s="1"/>
  <c r="P28" i="41" a="1"/>
  <c r="P28" i="41" s="1"/>
  <c r="Y28" i="41" s="1"/>
  <c r="P29" i="41" a="1"/>
  <c r="P29" i="41" s="1"/>
  <c r="Y29" i="41" s="1"/>
  <c r="P30" i="41" a="1"/>
  <c r="P30" i="41" s="1"/>
  <c r="Y30" i="41" s="1"/>
  <c r="P31" i="41" a="1"/>
  <c r="P31" i="41" s="1"/>
  <c r="Y31" i="41" s="1"/>
  <c r="P32" i="41" a="1"/>
  <c r="P32" i="41" s="1"/>
  <c r="Y32" i="41" s="1"/>
  <c r="P33" i="41" a="1"/>
  <c r="P33" i="41" s="1"/>
  <c r="Y33" i="41" s="1"/>
  <c r="P34" i="41" a="1"/>
  <c r="P34" i="41" s="1"/>
  <c r="Y34" i="41" s="1"/>
  <c r="P35" i="41" a="1"/>
  <c r="P35" i="41" s="1"/>
  <c r="Y35" i="41" s="1"/>
  <c r="P36" i="41" a="1"/>
  <c r="P36" i="41" s="1"/>
  <c r="Y36" i="41" s="1"/>
  <c r="P37" i="41" a="1"/>
  <c r="P37" i="41" s="1"/>
  <c r="Y37" i="41" s="1"/>
  <c r="P38" i="41" a="1"/>
  <c r="P38" i="41" s="1"/>
  <c r="Y38" i="41" s="1"/>
  <c r="P39" i="41" a="1"/>
  <c r="P39" i="41" s="1"/>
  <c r="Y39" i="41" s="1"/>
  <c r="P40" i="41" a="1"/>
  <c r="P40" i="41" s="1"/>
  <c r="Y40" i="41" s="1"/>
  <c r="P41" i="41" a="1"/>
  <c r="P41" i="41" s="1"/>
  <c r="Y41" i="41" s="1"/>
  <c r="P42" i="41" a="1"/>
  <c r="P42" i="41" s="1"/>
  <c r="Y42" i="41" s="1"/>
  <c r="P43" i="41" a="1"/>
  <c r="P43" i="41" s="1"/>
  <c r="Y43" i="41" s="1"/>
  <c r="P44" i="41" a="1"/>
  <c r="P44" i="41" s="1"/>
  <c r="Y44" i="41" s="1"/>
  <c r="P45" i="41" a="1"/>
  <c r="P45" i="41" s="1"/>
  <c r="Y45" i="41" s="1"/>
  <c r="P46" i="41" a="1"/>
  <c r="P46" i="41" s="1"/>
  <c r="Y46" i="41" s="1"/>
  <c r="P47" i="41" a="1"/>
  <c r="P47" i="41" s="1"/>
  <c r="Y47" i="41" s="1"/>
  <c r="P48" i="41" a="1"/>
  <c r="P48" i="41" s="1"/>
  <c r="Y48" i="41" s="1"/>
  <c r="P49" i="41" a="1"/>
  <c r="P49" i="41" s="1"/>
  <c r="Y49" i="41" s="1"/>
  <c r="P50" i="41" a="1"/>
  <c r="P50" i="41" s="1"/>
  <c r="Y50" i="41" s="1"/>
  <c r="P51" i="41" a="1"/>
  <c r="P51" i="41" s="1"/>
  <c r="Y51" i="41" s="1"/>
  <c r="P52" i="41" a="1"/>
  <c r="P52" i="41" s="1"/>
  <c r="Y52" i="41" s="1"/>
  <c r="P53" i="41" a="1"/>
  <c r="P53" i="41" s="1"/>
  <c r="Y53" i="41" s="1"/>
  <c r="P54" i="41" a="1"/>
  <c r="P54" i="41" s="1"/>
  <c r="Y54" i="41" s="1"/>
  <c r="P55" i="41" a="1"/>
  <c r="P55" i="41" s="1"/>
  <c r="Y55" i="41" s="1"/>
  <c r="P56" i="41" a="1"/>
  <c r="P56" i="41" s="1"/>
  <c r="Y56" i="41" s="1"/>
  <c r="P57" i="41" a="1"/>
  <c r="P57" i="41" s="1"/>
  <c r="Y57" i="41" s="1"/>
  <c r="P58" i="41" a="1"/>
  <c r="P58" i="41" s="1"/>
  <c r="Y58" i="41" s="1"/>
  <c r="P59" i="41" a="1"/>
  <c r="P59" i="41" s="1"/>
  <c r="Y59" i="41" s="1"/>
  <c r="P60" i="41" a="1"/>
  <c r="P60" i="41" s="1"/>
  <c r="Y60" i="41" s="1"/>
  <c r="P61" i="41" a="1"/>
  <c r="P61" i="41" s="1"/>
  <c r="Y61" i="41" s="1"/>
  <c r="P62" i="41" a="1"/>
  <c r="P62" i="41" s="1"/>
  <c r="Y62" i="41" s="1"/>
  <c r="P63" i="41" a="1"/>
  <c r="P63" i="41" s="1"/>
  <c r="Y63" i="41" s="1"/>
  <c r="P64" i="41" a="1"/>
  <c r="P64" i="41" s="1"/>
  <c r="Y64" i="41" s="1"/>
  <c r="D5" i="41" a="1"/>
  <c r="D5" i="41" s="1"/>
  <c r="K5" i="41" s="1"/>
  <c r="I6" i="41" a="1"/>
  <c r="I6" i="41" s="1"/>
  <c r="I7" i="41" a="1"/>
  <c r="I7" i="41" s="1"/>
  <c r="I8" i="41" a="1"/>
  <c r="I8" i="41" s="1"/>
  <c r="I9" i="41" a="1"/>
  <c r="I9" i="41" s="1"/>
  <c r="I10" i="41" a="1"/>
  <c r="I10" i="41" s="1"/>
  <c r="I11" i="41" a="1"/>
  <c r="I11" i="41" s="1"/>
  <c r="I12" i="41" a="1"/>
  <c r="I12" i="41" s="1"/>
  <c r="I13" i="41" a="1"/>
  <c r="I13" i="41" s="1"/>
  <c r="I14" i="41" a="1"/>
  <c r="I14" i="41" s="1"/>
  <c r="I15" i="41" a="1"/>
  <c r="I15" i="41" s="1"/>
  <c r="I16" i="41" a="1"/>
  <c r="I16" i="41" s="1"/>
  <c r="I17" i="41" a="1"/>
  <c r="I17" i="41" s="1"/>
  <c r="I18" i="41" a="1"/>
  <c r="I18" i="41" s="1"/>
  <c r="I19" i="41" a="1"/>
  <c r="I19" i="41" s="1"/>
  <c r="I20" i="41" a="1"/>
  <c r="I20" i="41" s="1"/>
  <c r="I21" i="41" a="1"/>
  <c r="I21" i="41" s="1"/>
  <c r="I22" i="41" a="1"/>
  <c r="I22" i="41" s="1"/>
  <c r="I23" i="41" a="1"/>
  <c r="I23" i="41" s="1"/>
  <c r="I24" i="41" a="1"/>
  <c r="I24" i="41" s="1"/>
  <c r="I25" i="41" a="1"/>
  <c r="I25" i="41" s="1"/>
  <c r="I26" i="41" a="1"/>
  <c r="I26" i="41" s="1"/>
  <c r="I27" i="41" a="1"/>
  <c r="I27" i="41" s="1"/>
  <c r="I28" i="41" a="1"/>
  <c r="I28" i="41" s="1"/>
  <c r="I29" i="41" a="1"/>
  <c r="I29" i="41" s="1"/>
  <c r="I30" i="41" a="1"/>
  <c r="I30" i="41" s="1"/>
  <c r="I31" i="41" a="1"/>
  <c r="I31" i="41" s="1"/>
  <c r="I32" i="41" a="1"/>
  <c r="I32" i="41" s="1"/>
  <c r="I33" i="41" a="1"/>
  <c r="I33" i="41" s="1"/>
  <c r="I34" i="41" a="1"/>
  <c r="I34" i="41" s="1"/>
  <c r="I35" i="41" a="1"/>
  <c r="I35" i="41" s="1"/>
  <c r="I36" i="41" a="1"/>
  <c r="I36" i="41" s="1"/>
  <c r="I37" i="41" a="1"/>
  <c r="I37" i="41" s="1"/>
  <c r="I38" i="41" a="1"/>
  <c r="I38" i="41" s="1"/>
  <c r="I39" i="41" a="1"/>
  <c r="I39" i="41" s="1"/>
  <c r="I40" i="41" a="1"/>
  <c r="I40" i="41" s="1"/>
  <c r="I41" i="41" a="1"/>
  <c r="I41" i="41" s="1"/>
  <c r="I42" i="41" a="1"/>
  <c r="I42" i="41" s="1"/>
  <c r="I43" i="41" a="1"/>
  <c r="I43" i="41" s="1"/>
  <c r="I44" i="41" a="1"/>
  <c r="I44" i="41" s="1"/>
  <c r="I45" i="41" a="1"/>
  <c r="I45" i="41" s="1"/>
  <c r="I46" i="41" a="1"/>
  <c r="I46" i="41" s="1"/>
  <c r="I47" i="41" a="1"/>
  <c r="I47" i="41" s="1"/>
  <c r="I48" i="41" a="1"/>
  <c r="I48" i="41" s="1"/>
  <c r="I49" i="41" a="1"/>
  <c r="I49" i="41" s="1"/>
  <c r="I50" i="41" a="1"/>
  <c r="I50" i="41" s="1"/>
  <c r="I51" i="41" a="1"/>
  <c r="I51" i="41" s="1"/>
  <c r="I52" i="41" a="1"/>
  <c r="I52" i="41" s="1"/>
  <c r="I53" i="41" a="1"/>
  <c r="I53" i="41" s="1"/>
  <c r="I54" i="41" a="1"/>
  <c r="I54" i="41" s="1"/>
  <c r="I55" i="41" a="1"/>
  <c r="I55" i="41" s="1"/>
  <c r="I56" i="41" a="1"/>
  <c r="I56" i="41" s="1"/>
  <c r="I57" i="41" a="1"/>
  <c r="I57" i="41" s="1"/>
  <c r="I58" i="41" a="1"/>
  <c r="I58" i="41" s="1"/>
  <c r="I59" i="41" a="1"/>
  <c r="I59" i="41" s="1"/>
  <c r="I60" i="41" a="1"/>
  <c r="I60" i="41" s="1"/>
  <c r="I61" i="41" a="1"/>
  <c r="I61" i="41" s="1"/>
  <c r="I62" i="41" a="1"/>
  <c r="I62" i="41" s="1"/>
  <c r="I63" i="41" a="1"/>
  <c r="I63" i="41" s="1"/>
  <c r="I64" i="41" a="1"/>
  <c r="I64" i="41" s="1"/>
  <c r="I5" i="41" a="1"/>
  <c r="I5" i="41" s="1"/>
  <c r="D6" i="41" a="1"/>
  <c r="D6" i="41" s="1"/>
  <c r="K6" i="41" s="1"/>
  <c r="D7" i="41" a="1"/>
  <c r="D7" i="41" s="1"/>
  <c r="K7" i="41" s="1"/>
  <c r="D8" i="41" a="1"/>
  <c r="D8" i="41" s="1"/>
  <c r="K8" i="41" s="1"/>
  <c r="D9" i="41" a="1"/>
  <c r="D9" i="41" s="1"/>
  <c r="K9" i="41" s="1"/>
  <c r="D10" i="41" a="1"/>
  <c r="D10" i="41" s="1"/>
  <c r="K10" i="41" s="1"/>
  <c r="D11" i="41" a="1"/>
  <c r="D11" i="41" s="1"/>
  <c r="K11" i="41" s="1"/>
  <c r="D12" i="41" a="1"/>
  <c r="D12" i="41" s="1"/>
  <c r="K12" i="41" s="1"/>
  <c r="D13" i="41" a="1"/>
  <c r="D13" i="41" s="1"/>
  <c r="K13" i="41" s="1"/>
  <c r="D14" i="41" a="1"/>
  <c r="D14" i="41" s="1"/>
  <c r="K14" i="41" s="1"/>
  <c r="D15" i="41" a="1"/>
  <c r="D15" i="41" s="1"/>
  <c r="K15" i="41" s="1"/>
  <c r="D16" i="41" a="1"/>
  <c r="D16" i="41" s="1"/>
  <c r="K16" i="41" s="1"/>
  <c r="D17" i="41" a="1"/>
  <c r="D17" i="41" s="1"/>
  <c r="K17" i="41" s="1"/>
  <c r="D18" i="41" a="1"/>
  <c r="D18" i="41" s="1"/>
  <c r="K18" i="41" s="1"/>
  <c r="D19" i="41" a="1"/>
  <c r="D19" i="41" s="1"/>
  <c r="K19" i="41" s="1"/>
  <c r="D20" i="41" a="1"/>
  <c r="D20" i="41" s="1"/>
  <c r="K20" i="41" s="1"/>
  <c r="D21" i="41" a="1"/>
  <c r="D21" i="41" s="1"/>
  <c r="K21" i="41" s="1"/>
  <c r="D22" i="41" a="1"/>
  <c r="D22" i="41" s="1"/>
  <c r="K22" i="41" s="1"/>
  <c r="D23" i="41" a="1"/>
  <c r="D23" i="41" s="1"/>
  <c r="K23" i="41" s="1"/>
  <c r="D24" i="41" a="1"/>
  <c r="D24" i="41" s="1"/>
  <c r="K24" i="41" s="1"/>
  <c r="D25" i="41" a="1"/>
  <c r="D25" i="41" s="1"/>
  <c r="K25" i="41" s="1"/>
  <c r="D26" i="41" a="1"/>
  <c r="D26" i="41" s="1"/>
  <c r="K26" i="41" s="1"/>
  <c r="D27" i="41" a="1"/>
  <c r="D27" i="41" s="1"/>
  <c r="K27" i="41" s="1"/>
  <c r="D28" i="41" a="1"/>
  <c r="D28" i="41" s="1"/>
  <c r="K28" i="41" s="1"/>
  <c r="D29" i="41" a="1"/>
  <c r="D29" i="41" s="1"/>
  <c r="K29" i="41" s="1"/>
  <c r="D30" i="41" a="1"/>
  <c r="D30" i="41" s="1"/>
  <c r="K30" i="41" s="1"/>
  <c r="D31" i="41" a="1"/>
  <c r="D31" i="41" s="1"/>
  <c r="K31" i="41" s="1"/>
  <c r="D32" i="41" a="1"/>
  <c r="D32" i="41" s="1"/>
  <c r="K32" i="41" s="1"/>
  <c r="D33" i="41" a="1"/>
  <c r="D33" i="41" s="1"/>
  <c r="K33" i="41" s="1"/>
  <c r="D34" i="41" a="1"/>
  <c r="D34" i="41" s="1"/>
  <c r="K34" i="41" s="1"/>
  <c r="D35" i="41" a="1"/>
  <c r="D35" i="41" s="1"/>
  <c r="K35" i="41" s="1"/>
  <c r="D36" i="41" a="1"/>
  <c r="D36" i="41" s="1"/>
  <c r="K36" i="41" s="1"/>
  <c r="D37" i="41" a="1"/>
  <c r="D37" i="41" s="1"/>
  <c r="K37" i="41" s="1"/>
  <c r="D38" i="41" a="1"/>
  <c r="D38" i="41" s="1"/>
  <c r="K38" i="41" s="1"/>
  <c r="D39" i="41" a="1"/>
  <c r="D39" i="41" s="1"/>
  <c r="K39" i="41" s="1"/>
  <c r="D40" i="41" a="1"/>
  <c r="D40" i="41" s="1"/>
  <c r="K40" i="41" s="1"/>
  <c r="D41" i="41" a="1"/>
  <c r="D41" i="41" s="1"/>
  <c r="K41" i="41" s="1"/>
  <c r="D42" i="41" a="1"/>
  <c r="D42" i="41" s="1"/>
  <c r="K42" i="41" s="1"/>
  <c r="D43" i="41" a="1"/>
  <c r="D43" i="41" s="1"/>
  <c r="K43" i="41" s="1"/>
  <c r="D44" i="41" a="1"/>
  <c r="D44" i="41" s="1"/>
  <c r="K44" i="41" s="1"/>
  <c r="D45" i="41" a="1"/>
  <c r="D45" i="41" s="1"/>
  <c r="K45" i="41" s="1"/>
  <c r="D46" i="41" a="1"/>
  <c r="D46" i="41" s="1"/>
  <c r="K46" i="41" s="1"/>
  <c r="D47" i="41" a="1"/>
  <c r="D47" i="41" s="1"/>
  <c r="K47" i="41" s="1"/>
  <c r="D48" i="41" a="1"/>
  <c r="D48" i="41" s="1"/>
  <c r="K48" i="41" s="1"/>
  <c r="D49" i="41" a="1"/>
  <c r="D49" i="41" s="1"/>
  <c r="K49" i="41" s="1"/>
  <c r="D50" i="41" a="1"/>
  <c r="D50" i="41" s="1"/>
  <c r="K50" i="41" s="1"/>
  <c r="D51" i="41" a="1"/>
  <c r="D51" i="41" s="1"/>
  <c r="K51" i="41" s="1"/>
  <c r="D52" i="41" a="1"/>
  <c r="D52" i="41" s="1"/>
  <c r="K52" i="41" s="1"/>
  <c r="D53" i="41" a="1"/>
  <c r="D53" i="41" s="1"/>
  <c r="K53" i="41" s="1"/>
  <c r="D54" i="41" a="1"/>
  <c r="D54" i="41" s="1"/>
  <c r="K54" i="41" s="1"/>
  <c r="D55" i="41" a="1"/>
  <c r="D55" i="41" s="1"/>
  <c r="K55" i="41" s="1"/>
  <c r="D56" i="41" a="1"/>
  <c r="D56" i="41" s="1"/>
  <c r="K56" i="41" s="1"/>
  <c r="D57" i="41" a="1"/>
  <c r="D57" i="41" s="1"/>
  <c r="K57" i="41" s="1"/>
  <c r="D58" i="41" a="1"/>
  <c r="D58" i="41" s="1"/>
  <c r="K58" i="41" s="1"/>
  <c r="D59" i="41" a="1"/>
  <c r="D59" i="41" s="1"/>
  <c r="K59" i="41" s="1"/>
  <c r="D60" i="41" a="1"/>
  <c r="D60" i="41" s="1"/>
  <c r="K60" i="41" s="1"/>
  <c r="D61" i="41" a="1"/>
  <c r="D61" i="41" s="1"/>
  <c r="K61" i="41" s="1"/>
  <c r="D62" i="41" a="1"/>
  <c r="D62" i="41" s="1"/>
  <c r="K62" i="41" s="1"/>
  <c r="D63" i="41" a="1"/>
  <c r="D63" i="41" s="1"/>
  <c r="K63" i="41" s="1"/>
  <c r="D64" i="41" a="1"/>
  <c r="D64" i="41" s="1"/>
  <c r="K64" i="41" s="1"/>
  <c r="Q64" i="41" a="1"/>
  <c r="Q64" i="41" s="1"/>
  <c r="O64" i="41" a="1"/>
  <c r="O64" i="41" s="1"/>
  <c r="R64" i="41" s="1" a="1"/>
  <c r="R64" i="41" s="1"/>
  <c r="Q63" i="41" a="1"/>
  <c r="Q63" i="41" s="1"/>
  <c r="O63" i="41" a="1"/>
  <c r="O63" i="41" s="1"/>
  <c r="R63" i="41" s="1" a="1"/>
  <c r="R63" i="41" s="1"/>
  <c r="Q62" i="41" a="1"/>
  <c r="Q62" i="41" s="1"/>
  <c r="O62" i="41" a="1"/>
  <c r="O62" i="41" s="1"/>
  <c r="R62" i="41" s="1" a="1"/>
  <c r="R62" i="41" s="1"/>
  <c r="Q61" i="41" a="1"/>
  <c r="Q61" i="41" s="1"/>
  <c r="O61" i="41" a="1"/>
  <c r="O61" i="41" s="1"/>
  <c r="R61" i="41" s="1" a="1"/>
  <c r="R61" i="41" s="1"/>
  <c r="Q60" i="41" a="1"/>
  <c r="Q60" i="41" s="1"/>
  <c r="O60" i="41" a="1"/>
  <c r="O60" i="41" s="1"/>
  <c r="R60" i="41" s="1" a="1"/>
  <c r="R60" i="41" s="1"/>
  <c r="Q59" i="41" a="1"/>
  <c r="Q59" i="41" s="1"/>
  <c r="O59" i="41" a="1"/>
  <c r="O59" i="41" s="1"/>
  <c r="R59" i="41" s="1" a="1"/>
  <c r="R59" i="41" s="1"/>
  <c r="Q58" i="41" a="1"/>
  <c r="Q58" i="41" s="1"/>
  <c r="O58" i="41" a="1"/>
  <c r="O58" i="41" s="1"/>
  <c r="R58" i="41" s="1" a="1"/>
  <c r="R58" i="41" s="1"/>
  <c r="Q57" i="41" a="1"/>
  <c r="Q57" i="41" s="1"/>
  <c r="O57" i="41" a="1"/>
  <c r="O57" i="41" s="1"/>
  <c r="R57" i="41" s="1" a="1"/>
  <c r="R57" i="41" s="1"/>
  <c r="Q56" i="41" a="1"/>
  <c r="Q56" i="41" s="1"/>
  <c r="O56" i="41" a="1"/>
  <c r="O56" i="41" s="1"/>
  <c r="R56" i="41" s="1" a="1"/>
  <c r="R56" i="41" s="1"/>
  <c r="Q55" i="41" a="1"/>
  <c r="Q55" i="41" s="1"/>
  <c r="O55" i="41" a="1"/>
  <c r="O55" i="41" s="1"/>
  <c r="R55" i="41" s="1" a="1"/>
  <c r="R55" i="41" s="1"/>
  <c r="Q54" i="41" a="1"/>
  <c r="Q54" i="41" s="1"/>
  <c r="O54" i="41" a="1"/>
  <c r="O54" i="41" s="1"/>
  <c r="R54" i="41" s="1" a="1"/>
  <c r="R54" i="41" s="1"/>
  <c r="Q53" i="41" a="1"/>
  <c r="Q53" i="41" s="1"/>
  <c r="O53" i="41" a="1"/>
  <c r="O53" i="41" s="1"/>
  <c r="R53" i="41" s="1" a="1"/>
  <c r="R53" i="41" s="1"/>
  <c r="Q52" i="41" a="1"/>
  <c r="Q52" i="41" s="1"/>
  <c r="O52" i="41" a="1"/>
  <c r="O52" i="41" s="1"/>
  <c r="R52" i="41" s="1" a="1"/>
  <c r="R52" i="41" s="1"/>
  <c r="Q51" i="41" a="1"/>
  <c r="Q51" i="41" s="1"/>
  <c r="O51" i="41" a="1"/>
  <c r="O51" i="41" s="1"/>
  <c r="R51" i="41" s="1" a="1"/>
  <c r="R51" i="41" s="1"/>
  <c r="Q50" i="41" a="1"/>
  <c r="Q50" i="41" s="1"/>
  <c r="O50" i="41" a="1"/>
  <c r="O50" i="41" s="1"/>
  <c r="R50" i="41" s="1" a="1"/>
  <c r="R50" i="41" s="1"/>
  <c r="Q49" i="41" a="1"/>
  <c r="Q49" i="41" s="1"/>
  <c r="O49" i="41" a="1"/>
  <c r="O49" i="41" s="1"/>
  <c r="R49" i="41" s="1" a="1"/>
  <c r="R49" i="41" s="1"/>
  <c r="Q48" i="41" a="1"/>
  <c r="Q48" i="41" s="1"/>
  <c r="O48" i="41" a="1"/>
  <c r="O48" i="41" s="1"/>
  <c r="R48" i="41" s="1" a="1"/>
  <c r="R48" i="41" s="1"/>
  <c r="Q47" i="41" a="1"/>
  <c r="Q47" i="41" s="1"/>
  <c r="O47" i="41" a="1"/>
  <c r="O47" i="41" s="1"/>
  <c r="R47" i="41" s="1" a="1"/>
  <c r="R47" i="41" s="1"/>
  <c r="Q46" i="41" a="1"/>
  <c r="Q46" i="41" s="1"/>
  <c r="O46" i="41" a="1"/>
  <c r="O46" i="41" s="1"/>
  <c r="R46" i="41" s="1" a="1"/>
  <c r="R46" i="41" s="1"/>
  <c r="Q45" i="41" a="1"/>
  <c r="Q45" i="41" s="1"/>
  <c r="O45" i="41" a="1"/>
  <c r="O45" i="41" s="1"/>
  <c r="R45" i="41" s="1" a="1"/>
  <c r="R45" i="41" s="1"/>
  <c r="Q44" i="41" a="1"/>
  <c r="Q44" i="41" s="1"/>
  <c r="O44" i="41" a="1"/>
  <c r="O44" i="41" s="1"/>
  <c r="R44" i="41" s="1" a="1"/>
  <c r="R44" i="41" s="1"/>
  <c r="Q43" i="41" a="1"/>
  <c r="Q43" i="41" s="1"/>
  <c r="O43" i="41" a="1"/>
  <c r="O43" i="41" s="1"/>
  <c r="R43" i="41" s="1" a="1"/>
  <c r="R43" i="41" s="1"/>
  <c r="Q42" i="41" a="1"/>
  <c r="Q42" i="41" s="1"/>
  <c r="O42" i="41" a="1"/>
  <c r="O42" i="41" s="1"/>
  <c r="R42" i="41" s="1" a="1"/>
  <c r="R42" i="41" s="1"/>
  <c r="Q41" i="41" a="1"/>
  <c r="Q41" i="41" s="1"/>
  <c r="O41" i="41" a="1"/>
  <c r="O41" i="41" s="1"/>
  <c r="R41" i="41" s="1" a="1"/>
  <c r="R41" i="41" s="1"/>
  <c r="Q40" i="41" a="1"/>
  <c r="Q40" i="41" s="1"/>
  <c r="O40" i="41" a="1"/>
  <c r="O40" i="41" s="1"/>
  <c r="R40" i="41" s="1" a="1"/>
  <c r="R40" i="41" s="1"/>
  <c r="Q39" i="41" a="1"/>
  <c r="Q39" i="41" s="1"/>
  <c r="O39" i="41" a="1"/>
  <c r="O39" i="41" s="1"/>
  <c r="R39" i="41" s="1" a="1"/>
  <c r="R39" i="41" s="1"/>
  <c r="Q38" i="41" a="1"/>
  <c r="Q38" i="41" s="1"/>
  <c r="O38" i="41" a="1"/>
  <c r="O38" i="41" s="1"/>
  <c r="R38" i="41" s="1" a="1"/>
  <c r="R38" i="41" s="1"/>
  <c r="Q37" i="41" a="1"/>
  <c r="Q37" i="41" s="1"/>
  <c r="O37" i="41" a="1"/>
  <c r="O37" i="41" s="1"/>
  <c r="R37" i="41" s="1" a="1"/>
  <c r="R37" i="41" s="1"/>
  <c r="Q36" i="41" a="1"/>
  <c r="Q36" i="41" s="1"/>
  <c r="O36" i="41" a="1"/>
  <c r="O36" i="41" s="1"/>
  <c r="R36" i="41" s="1" a="1"/>
  <c r="R36" i="41" s="1"/>
  <c r="Q35" i="41" a="1"/>
  <c r="Q35" i="41" s="1"/>
  <c r="O35" i="41" a="1"/>
  <c r="O35" i="41" s="1"/>
  <c r="R35" i="41" s="1" a="1"/>
  <c r="R35" i="41" s="1"/>
  <c r="Q34" i="41" a="1"/>
  <c r="Q34" i="41" s="1"/>
  <c r="O34" i="41" a="1"/>
  <c r="O34" i="41" s="1"/>
  <c r="R34" i="41" s="1" a="1"/>
  <c r="R34" i="41" s="1"/>
  <c r="Q33" i="41" a="1"/>
  <c r="Q33" i="41" s="1"/>
  <c r="O33" i="41" a="1"/>
  <c r="O33" i="41" s="1"/>
  <c r="R33" i="41" s="1" a="1"/>
  <c r="R33" i="41" s="1"/>
  <c r="Q32" i="41" a="1"/>
  <c r="Q32" i="41" s="1"/>
  <c r="O32" i="41" a="1"/>
  <c r="O32" i="41" s="1"/>
  <c r="R32" i="41" s="1" a="1"/>
  <c r="R32" i="41" s="1"/>
  <c r="Q31" i="41" a="1"/>
  <c r="Q31" i="41" s="1"/>
  <c r="O31" i="41" a="1"/>
  <c r="O31" i="41" s="1"/>
  <c r="R31" i="41" s="1" a="1"/>
  <c r="R31" i="41" s="1"/>
  <c r="Q30" i="41" a="1"/>
  <c r="Q30" i="41" s="1"/>
  <c r="O30" i="41" a="1"/>
  <c r="O30" i="41" s="1"/>
  <c r="R30" i="41" s="1" a="1"/>
  <c r="R30" i="41" s="1"/>
  <c r="Q29" i="41" a="1"/>
  <c r="Q29" i="41" s="1"/>
  <c r="O29" i="41" a="1"/>
  <c r="O29" i="41" s="1"/>
  <c r="R29" i="41" s="1" a="1"/>
  <c r="R29" i="41" s="1"/>
  <c r="Q28" i="41" a="1"/>
  <c r="Q28" i="41" s="1"/>
  <c r="O28" i="41" a="1"/>
  <c r="O28" i="41" s="1"/>
  <c r="R28" i="41" s="1" a="1"/>
  <c r="R28" i="41" s="1"/>
  <c r="Q27" i="41" a="1"/>
  <c r="Q27" i="41" s="1"/>
  <c r="O27" i="41" a="1"/>
  <c r="O27" i="41" s="1"/>
  <c r="R27" i="41" s="1" a="1"/>
  <c r="R27" i="41" s="1"/>
  <c r="Q26" i="41" a="1"/>
  <c r="Q26" i="41" s="1"/>
  <c r="O26" i="41" a="1"/>
  <c r="O26" i="41" s="1"/>
  <c r="R26" i="41" s="1" a="1"/>
  <c r="R26" i="41" s="1"/>
  <c r="Q25" i="41" a="1"/>
  <c r="Q25" i="41" s="1"/>
  <c r="O25" i="41" a="1"/>
  <c r="O25" i="41" s="1"/>
  <c r="R25" i="41" s="1" a="1"/>
  <c r="R25" i="41" s="1"/>
  <c r="Q24" i="41" a="1"/>
  <c r="Q24" i="41" s="1"/>
  <c r="O24" i="41" a="1"/>
  <c r="O24" i="41" s="1"/>
  <c r="R24" i="41" s="1" a="1"/>
  <c r="R24" i="41" s="1"/>
  <c r="Q23" i="41" a="1"/>
  <c r="Q23" i="41" s="1"/>
  <c r="O23" i="41" a="1"/>
  <c r="O23" i="41" s="1"/>
  <c r="R23" i="41" s="1" a="1"/>
  <c r="R23" i="41" s="1"/>
  <c r="Q22" i="41" a="1"/>
  <c r="Q22" i="41" s="1"/>
  <c r="O22" i="41" a="1"/>
  <c r="O22" i="41" s="1"/>
  <c r="R22" i="41" s="1" a="1"/>
  <c r="R22" i="41" s="1"/>
  <c r="Q21" i="41" a="1"/>
  <c r="Q21" i="41" s="1"/>
  <c r="O21" i="41" a="1"/>
  <c r="O21" i="41" s="1"/>
  <c r="R21" i="41" s="1" a="1"/>
  <c r="R21" i="41" s="1"/>
  <c r="Q20" i="41" a="1"/>
  <c r="Q20" i="41" s="1"/>
  <c r="O20" i="41" a="1"/>
  <c r="O20" i="41" s="1"/>
  <c r="R20" i="41" s="1" a="1"/>
  <c r="R20" i="41" s="1"/>
  <c r="Q19" i="41" a="1"/>
  <c r="Q19" i="41" s="1"/>
  <c r="O19" i="41" a="1"/>
  <c r="O19" i="41" s="1"/>
  <c r="R19" i="41" s="1" a="1"/>
  <c r="R19" i="41" s="1"/>
  <c r="Q18" i="41" a="1"/>
  <c r="Q18" i="41" s="1"/>
  <c r="O18" i="41" a="1"/>
  <c r="O18" i="41" s="1"/>
  <c r="R18" i="41" s="1" a="1"/>
  <c r="R18" i="41" s="1"/>
  <c r="Q17" i="41" a="1"/>
  <c r="Q17" i="41" s="1"/>
  <c r="O17" i="41" a="1"/>
  <c r="O17" i="41" s="1"/>
  <c r="R17" i="41" s="1" a="1"/>
  <c r="R17" i="41" s="1"/>
  <c r="Q16" i="41" a="1"/>
  <c r="Q16" i="41" s="1"/>
  <c r="O16" i="41" a="1"/>
  <c r="O16" i="41" s="1"/>
  <c r="R16" i="41" s="1" a="1"/>
  <c r="R16" i="41" s="1"/>
  <c r="Q15" i="41" a="1"/>
  <c r="Q15" i="41" s="1"/>
  <c r="O15" i="41" a="1"/>
  <c r="O15" i="41" s="1"/>
  <c r="R15" i="41" s="1" a="1"/>
  <c r="R15" i="41" s="1"/>
  <c r="Q14" i="41" a="1"/>
  <c r="Q14" i="41" s="1"/>
  <c r="O14" i="41" a="1"/>
  <c r="O14" i="41" s="1"/>
  <c r="R14" i="41" s="1" a="1"/>
  <c r="R14" i="41" s="1"/>
  <c r="Q13" i="41" a="1"/>
  <c r="Q13" i="41" s="1"/>
  <c r="O13" i="41" a="1"/>
  <c r="O13" i="41" s="1"/>
  <c r="R13" i="41" s="1" a="1"/>
  <c r="R13" i="41" s="1"/>
  <c r="Q12" i="41" a="1"/>
  <c r="Q12" i="41" s="1"/>
  <c r="O12" i="41" a="1"/>
  <c r="O12" i="41" s="1"/>
  <c r="R12" i="41" s="1" a="1"/>
  <c r="R12" i="41" s="1"/>
  <c r="Q11" i="41" a="1"/>
  <c r="Q11" i="41" s="1"/>
  <c r="O11" i="41" a="1"/>
  <c r="O11" i="41" s="1"/>
  <c r="R11" i="41" s="1" a="1"/>
  <c r="R11" i="41" s="1"/>
  <c r="Q10" i="41" a="1"/>
  <c r="Q10" i="41" s="1"/>
  <c r="O10" i="41" a="1"/>
  <c r="O10" i="41" s="1"/>
  <c r="R10" i="41" s="1" a="1"/>
  <c r="R10" i="41" s="1"/>
  <c r="Q9" i="41" a="1"/>
  <c r="Q9" i="41" s="1"/>
  <c r="O9" i="41" a="1"/>
  <c r="O9" i="41" s="1"/>
  <c r="R9" i="41" s="1" a="1"/>
  <c r="R9" i="41" s="1"/>
  <c r="Q8" i="41" a="1"/>
  <c r="Q8" i="41" s="1"/>
  <c r="O8" i="41" a="1"/>
  <c r="O8" i="41" s="1"/>
  <c r="R8" i="41" s="1" a="1"/>
  <c r="R8" i="41" s="1"/>
  <c r="Q7" i="41" a="1"/>
  <c r="Q7" i="41" s="1"/>
  <c r="O7" i="41" a="1"/>
  <c r="O7" i="41" s="1"/>
  <c r="R7" i="41" s="1" a="1"/>
  <c r="R7" i="41" s="1"/>
  <c r="Q6" i="41" a="1"/>
  <c r="Q6" i="41" s="1"/>
  <c r="O6" i="41" a="1"/>
  <c r="O6" i="41" s="1"/>
  <c r="R6" i="41" s="1" a="1"/>
  <c r="R6" i="41" s="1"/>
  <c r="O5" i="41" a="1"/>
  <c r="O5" i="41" s="1"/>
  <c r="R5" i="41" s="1" a="1"/>
  <c r="R5" i="41" s="1"/>
  <c r="E15" i="41" a="1"/>
  <c r="E15" i="41" s="1"/>
  <c r="E16" i="41" a="1"/>
  <c r="E16" i="41" s="1"/>
  <c r="E17" i="41" a="1"/>
  <c r="E17" i="41" s="1"/>
  <c r="E18" i="41" a="1"/>
  <c r="E18" i="41" s="1"/>
  <c r="E19" i="41" a="1"/>
  <c r="E19" i="41" s="1"/>
  <c r="E20" i="41" a="1"/>
  <c r="E20" i="41" s="1"/>
  <c r="E21" i="41" a="1"/>
  <c r="E21" i="41" s="1"/>
  <c r="E22" i="41" a="1"/>
  <c r="E22" i="41" s="1"/>
  <c r="E23" i="41" a="1"/>
  <c r="E23" i="41" s="1"/>
  <c r="E24" i="41" a="1"/>
  <c r="E24" i="41" s="1"/>
  <c r="E25" i="41" a="1"/>
  <c r="E25" i="41" s="1"/>
  <c r="E26" i="41" a="1"/>
  <c r="E26" i="41" s="1"/>
  <c r="E27" i="41" a="1"/>
  <c r="E27" i="41" s="1"/>
  <c r="E28" i="41" a="1"/>
  <c r="E28" i="41" s="1"/>
  <c r="E29" i="41" a="1"/>
  <c r="E29" i="41" s="1"/>
  <c r="E30" i="41" a="1"/>
  <c r="E30" i="41" s="1"/>
  <c r="E31" i="41" a="1"/>
  <c r="E31" i="41" s="1"/>
  <c r="E32" i="41" a="1"/>
  <c r="E32" i="41" s="1"/>
  <c r="E33" i="41" a="1"/>
  <c r="E33" i="41" s="1"/>
  <c r="E34" i="41" a="1"/>
  <c r="E34" i="41" s="1"/>
  <c r="E35" i="41" a="1"/>
  <c r="E35" i="41" s="1"/>
  <c r="E36" i="41" a="1"/>
  <c r="E36" i="41" s="1"/>
  <c r="E37" i="41" a="1"/>
  <c r="E37" i="41" s="1"/>
  <c r="E38" i="41" a="1"/>
  <c r="E38" i="41" s="1"/>
  <c r="E39" i="41" a="1"/>
  <c r="E39" i="41" s="1"/>
  <c r="E40" i="41" a="1"/>
  <c r="E40" i="41" s="1"/>
  <c r="E41" i="41" a="1"/>
  <c r="E41" i="41" s="1"/>
  <c r="E42" i="41" a="1"/>
  <c r="E42" i="41" s="1"/>
  <c r="E43" i="41" a="1"/>
  <c r="E43" i="41" s="1"/>
  <c r="E44" i="41" a="1"/>
  <c r="E44" i="41" s="1"/>
  <c r="E45" i="41" a="1"/>
  <c r="E45" i="41" s="1"/>
  <c r="E46" i="41" a="1"/>
  <c r="E46" i="41" s="1"/>
  <c r="E47" i="41" a="1"/>
  <c r="E47" i="41" s="1"/>
  <c r="E48" i="41" a="1"/>
  <c r="E48" i="41" s="1"/>
  <c r="E49" i="41" a="1"/>
  <c r="E49" i="41" s="1"/>
  <c r="E50" i="41" a="1"/>
  <c r="E50" i="41" s="1"/>
  <c r="E51" i="41" a="1"/>
  <c r="E51" i="41" s="1"/>
  <c r="E52" i="41" a="1"/>
  <c r="E52" i="41" s="1"/>
  <c r="E53" i="41" a="1"/>
  <c r="E53" i="41" s="1"/>
  <c r="E54" i="41" a="1"/>
  <c r="E54" i="41" s="1"/>
  <c r="E55" i="41" a="1"/>
  <c r="E55" i="41" s="1"/>
  <c r="E56" i="41" a="1"/>
  <c r="E56" i="41" s="1"/>
  <c r="E57" i="41" a="1"/>
  <c r="E57" i="41" s="1"/>
  <c r="E58" i="41" a="1"/>
  <c r="E58" i="41" s="1"/>
  <c r="E59" i="41" a="1"/>
  <c r="E59" i="41" s="1"/>
  <c r="E60" i="41" a="1"/>
  <c r="E60" i="41" s="1"/>
  <c r="E61" i="41" a="1"/>
  <c r="E61" i="41" s="1"/>
  <c r="E62" i="41" a="1"/>
  <c r="E62" i="41" s="1"/>
  <c r="E63" i="41" a="1"/>
  <c r="E63" i="41" s="1"/>
  <c r="E64" i="41" a="1"/>
  <c r="E64" i="41" s="1"/>
  <c r="E6" i="41" a="1"/>
  <c r="E6" i="41" s="1"/>
  <c r="E7" i="41" a="1"/>
  <c r="E7" i="41" s="1"/>
  <c r="E8" i="41" a="1"/>
  <c r="E8" i="41" s="1"/>
  <c r="E9" i="41" a="1"/>
  <c r="E9" i="41" s="1"/>
  <c r="E10" i="41" a="1"/>
  <c r="E10" i="41" s="1"/>
  <c r="E11" i="41" a="1"/>
  <c r="E11" i="41" s="1"/>
  <c r="E12" i="41" a="1"/>
  <c r="E12" i="41" s="1"/>
  <c r="E13" i="41" a="1"/>
  <c r="E13" i="41" s="1"/>
  <c r="E14" i="41" a="1"/>
  <c r="E14" i="41" s="1"/>
  <c r="E5" i="41" a="1"/>
  <c r="E5" i="41" s="1"/>
  <c r="C6" i="41" a="1"/>
  <c r="C6" i="41" s="1"/>
  <c r="F6" i="41" s="1" a="1"/>
  <c r="F6" i="41" s="1"/>
  <c r="C7" i="41" a="1"/>
  <c r="C7" i="41" s="1"/>
  <c r="F7" i="41" s="1" a="1"/>
  <c r="F7" i="41" s="1"/>
  <c r="C8" i="41" a="1"/>
  <c r="C8" i="41" s="1"/>
  <c r="F8" i="41" s="1" a="1"/>
  <c r="F8" i="41" s="1"/>
  <c r="C9" i="41" a="1"/>
  <c r="C9" i="41" s="1"/>
  <c r="F9" i="41" s="1" a="1"/>
  <c r="F9" i="41" s="1"/>
  <c r="C10" i="41" a="1"/>
  <c r="C10" i="41" s="1"/>
  <c r="F10" i="41" s="1" a="1"/>
  <c r="F10" i="41" s="1"/>
  <c r="C11" i="41" a="1"/>
  <c r="C11" i="41" s="1"/>
  <c r="F11" i="41" s="1" a="1"/>
  <c r="F11" i="41" s="1"/>
  <c r="C12" i="41" a="1"/>
  <c r="C12" i="41" s="1"/>
  <c r="F12" i="41" s="1" a="1"/>
  <c r="F12" i="41" s="1"/>
  <c r="C13" i="41" a="1"/>
  <c r="C13" i="41" s="1"/>
  <c r="F13" i="41" s="1" a="1"/>
  <c r="F13" i="41" s="1"/>
  <c r="C14" i="41" a="1"/>
  <c r="C14" i="41" s="1"/>
  <c r="F14" i="41" s="1" a="1"/>
  <c r="F14" i="41" s="1"/>
  <c r="C15" i="41" a="1"/>
  <c r="C15" i="41" s="1"/>
  <c r="F15" i="41" s="1" a="1"/>
  <c r="F15" i="41" s="1"/>
  <c r="C16" i="41" a="1"/>
  <c r="C16" i="41" s="1"/>
  <c r="F16" i="41" s="1" a="1"/>
  <c r="F16" i="41" s="1"/>
  <c r="C17" i="41" a="1"/>
  <c r="C17" i="41" s="1"/>
  <c r="F17" i="41" s="1" a="1"/>
  <c r="F17" i="41" s="1"/>
  <c r="C18" i="41" a="1"/>
  <c r="C18" i="41" s="1"/>
  <c r="F18" i="41" s="1" a="1"/>
  <c r="F18" i="41" s="1"/>
  <c r="C19" i="41" a="1"/>
  <c r="C19" i="41" s="1"/>
  <c r="F19" i="41" s="1" a="1"/>
  <c r="F19" i="41" s="1"/>
  <c r="C20" i="41" a="1"/>
  <c r="C20" i="41" s="1"/>
  <c r="F20" i="41" s="1" a="1"/>
  <c r="F20" i="41" s="1"/>
  <c r="C21" i="41" a="1"/>
  <c r="C21" i="41" s="1"/>
  <c r="F21" i="41" s="1" a="1"/>
  <c r="F21" i="41" s="1"/>
  <c r="C22" i="41" a="1"/>
  <c r="C22" i="41" s="1"/>
  <c r="F22" i="41" s="1" a="1"/>
  <c r="F22" i="41" s="1"/>
  <c r="C23" i="41" a="1"/>
  <c r="C23" i="41" s="1"/>
  <c r="F23" i="41" s="1" a="1"/>
  <c r="F23" i="41" s="1"/>
  <c r="C24" i="41" a="1"/>
  <c r="C24" i="41" s="1"/>
  <c r="F24" i="41" s="1" a="1"/>
  <c r="F24" i="41" s="1"/>
  <c r="C25" i="41" a="1"/>
  <c r="C25" i="41" s="1"/>
  <c r="F25" i="41" s="1" a="1"/>
  <c r="F25" i="41" s="1"/>
  <c r="C26" i="41" a="1"/>
  <c r="C26" i="41" s="1"/>
  <c r="F26" i="41" s="1" a="1"/>
  <c r="F26" i="41" s="1"/>
  <c r="C27" i="41" a="1"/>
  <c r="C27" i="41" s="1"/>
  <c r="F27" i="41" s="1" a="1"/>
  <c r="F27" i="41" s="1"/>
  <c r="C28" i="41" a="1"/>
  <c r="C28" i="41" s="1"/>
  <c r="F28" i="41" s="1" a="1"/>
  <c r="F28" i="41" s="1"/>
  <c r="C29" i="41" a="1"/>
  <c r="C29" i="41" s="1"/>
  <c r="F29" i="41" s="1" a="1"/>
  <c r="F29" i="41" s="1"/>
  <c r="C30" i="41" a="1"/>
  <c r="C30" i="41" s="1"/>
  <c r="F30" i="41" s="1" a="1"/>
  <c r="F30" i="41" s="1"/>
  <c r="C31" i="41" a="1"/>
  <c r="C31" i="41" s="1"/>
  <c r="F31" i="41" s="1" a="1"/>
  <c r="F31" i="41" s="1"/>
  <c r="C32" i="41" a="1"/>
  <c r="C32" i="41" s="1"/>
  <c r="F32" i="41" s="1" a="1"/>
  <c r="F32" i="41" s="1"/>
  <c r="C33" i="41" a="1"/>
  <c r="C33" i="41" s="1"/>
  <c r="F33" i="41" s="1" a="1"/>
  <c r="F33" i="41" s="1"/>
  <c r="C34" i="41" a="1"/>
  <c r="C34" i="41" s="1"/>
  <c r="F34" i="41" s="1" a="1"/>
  <c r="F34" i="41" s="1"/>
  <c r="C35" i="41" a="1"/>
  <c r="C35" i="41" s="1"/>
  <c r="F35" i="41" s="1" a="1"/>
  <c r="F35" i="41" s="1"/>
  <c r="C36" i="41" a="1"/>
  <c r="C36" i="41" s="1"/>
  <c r="F36" i="41" s="1" a="1"/>
  <c r="F36" i="41" s="1"/>
  <c r="C37" i="41" a="1"/>
  <c r="C37" i="41" s="1"/>
  <c r="F37" i="41" s="1" a="1"/>
  <c r="F37" i="41" s="1"/>
  <c r="C38" i="41" a="1"/>
  <c r="C38" i="41" s="1"/>
  <c r="F38" i="41" s="1" a="1"/>
  <c r="F38" i="41" s="1"/>
  <c r="C39" i="41" a="1"/>
  <c r="C39" i="41" s="1"/>
  <c r="F39" i="41" s="1" a="1"/>
  <c r="F39" i="41" s="1"/>
  <c r="C40" i="41" a="1"/>
  <c r="C40" i="41" s="1"/>
  <c r="F40" i="41" s="1" a="1"/>
  <c r="F40" i="41" s="1"/>
  <c r="C41" i="41" a="1"/>
  <c r="C41" i="41" s="1"/>
  <c r="F41" i="41" s="1" a="1"/>
  <c r="F41" i="41" s="1"/>
  <c r="C42" i="41" a="1"/>
  <c r="C42" i="41" s="1"/>
  <c r="F42" i="41" s="1" a="1"/>
  <c r="F42" i="41" s="1"/>
  <c r="C43" i="41" a="1"/>
  <c r="C43" i="41" s="1"/>
  <c r="F43" i="41" s="1" a="1"/>
  <c r="F43" i="41" s="1"/>
  <c r="C44" i="41" a="1"/>
  <c r="C44" i="41" s="1"/>
  <c r="F44" i="41" s="1" a="1"/>
  <c r="F44" i="41" s="1"/>
  <c r="C45" i="41" a="1"/>
  <c r="C45" i="41" s="1"/>
  <c r="F45" i="41" s="1" a="1"/>
  <c r="F45" i="41" s="1"/>
  <c r="C46" i="41" a="1"/>
  <c r="C46" i="41" s="1"/>
  <c r="F46" i="41" s="1" a="1"/>
  <c r="F46" i="41" s="1"/>
  <c r="C47" i="41" a="1"/>
  <c r="C47" i="41" s="1"/>
  <c r="F47" i="41" s="1" a="1"/>
  <c r="F47" i="41" s="1"/>
  <c r="C48" i="41" a="1"/>
  <c r="C48" i="41" s="1"/>
  <c r="F48" i="41" s="1" a="1"/>
  <c r="F48" i="41" s="1"/>
  <c r="C49" i="41" a="1"/>
  <c r="C49" i="41" s="1"/>
  <c r="F49" i="41" s="1" a="1"/>
  <c r="F49" i="41" s="1"/>
  <c r="C50" i="41" a="1"/>
  <c r="C50" i="41" s="1"/>
  <c r="F50" i="41" s="1" a="1"/>
  <c r="F50" i="41" s="1"/>
  <c r="C51" i="41" a="1"/>
  <c r="C51" i="41" s="1"/>
  <c r="F51" i="41" s="1" a="1"/>
  <c r="F51" i="41" s="1"/>
  <c r="C52" i="41" a="1"/>
  <c r="C52" i="41" s="1"/>
  <c r="F52" i="41" s="1" a="1"/>
  <c r="F52" i="41" s="1"/>
  <c r="C53" i="41" a="1"/>
  <c r="C53" i="41" s="1"/>
  <c r="F53" i="41" s="1" a="1"/>
  <c r="F53" i="41" s="1"/>
  <c r="C54" i="41" a="1"/>
  <c r="C54" i="41" s="1"/>
  <c r="F54" i="41" s="1" a="1"/>
  <c r="F54" i="41" s="1"/>
  <c r="C55" i="41" a="1"/>
  <c r="C55" i="41" s="1"/>
  <c r="F55" i="41" s="1" a="1"/>
  <c r="F55" i="41" s="1"/>
  <c r="C56" i="41" a="1"/>
  <c r="C56" i="41" s="1"/>
  <c r="F56" i="41" s="1" a="1"/>
  <c r="F56" i="41" s="1"/>
  <c r="C57" i="41" a="1"/>
  <c r="C57" i="41" s="1"/>
  <c r="F57" i="41" s="1" a="1"/>
  <c r="F57" i="41" s="1"/>
  <c r="C58" i="41" a="1"/>
  <c r="C58" i="41" s="1"/>
  <c r="F58" i="41" s="1" a="1"/>
  <c r="F58" i="41" s="1"/>
  <c r="C59" i="41" a="1"/>
  <c r="C59" i="41" s="1"/>
  <c r="F59" i="41" s="1" a="1"/>
  <c r="F59" i="41" s="1"/>
  <c r="C60" i="41" a="1"/>
  <c r="C60" i="41" s="1"/>
  <c r="F60" i="41" s="1" a="1"/>
  <c r="F60" i="41" s="1"/>
  <c r="C61" i="41" a="1"/>
  <c r="C61" i="41" s="1"/>
  <c r="F61" i="41" s="1" a="1"/>
  <c r="F61" i="41" s="1"/>
  <c r="C62" i="41" a="1"/>
  <c r="C62" i="41" s="1"/>
  <c r="F62" i="41" s="1" a="1"/>
  <c r="F62" i="41" s="1"/>
  <c r="C63" i="41" a="1"/>
  <c r="C63" i="41" s="1"/>
  <c r="F63" i="41" s="1" a="1"/>
  <c r="F63" i="41" s="1"/>
  <c r="C64" i="41" a="1"/>
  <c r="C64" i="41" s="1"/>
  <c r="F64" i="41" s="1" a="1"/>
  <c r="F64" i="41" s="1"/>
  <c r="C5" i="41" a="1"/>
  <c r="C5" i="41" s="1"/>
  <c r="F5" i="41" s="1" a="1"/>
  <c r="F5" i="41" s="1"/>
  <c r="B32" i="37"/>
  <c r="C11" i="38"/>
  <c r="D11" i="38"/>
  <c r="E11" i="38"/>
  <c r="C12" i="38"/>
  <c r="D12" i="38"/>
  <c r="E12" i="38"/>
  <c r="C13" i="38"/>
  <c r="D13" i="38"/>
  <c r="E13" i="38"/>
  <c r="C14" i="38"/>
  <c r="D14" i="38"/>
  <c r="E14" i="38"/>
  <c r="C15" i="38"/>
  <c r="D15" i="38"/>
  <c r="E15" i="38"/>
  <c r="C16" i="38"/>
  <c r="D16" i="38"/>
  <c r="E16" i="38"/>
  <c r="C17" i="38"/>
  <c r="D17" i="38"/>
  <c r="E17" i="38"/>
  <c r="C18" i="38"/>
  <c r="D18" i="38"/>
  <c r="E18" i="38"/>
  <c r="C19" i="38"/>
  <c r="D19" i="38"/>
  <c r="E19" i="38"/>
  <c r="C20" i="38"/>
  <c r="D20" i="38"/>
  <c r="E20" i="38"/>
  <c r="E63" i="38"/>
  <c r="E62" i="38"/>
  <c r="R62" i="38"/>
  <c r="R63" i="38"/>
  <c r="T33" i="38"/>
  <c r="U36" i="38"/>
  <c r="Q38" i="38"/>
  <c r="O37" i="38"/>
  <c r="O38" i="38"/>
  <c r="O39" i="38"/>
  <c r="N40" i="38"/>
  <c r="N41" i="38"/>
  <c r="O33" i="38"/>
  <c r="M40" i="38"/>
  <c r="M41" i="38"/>
  <c r="L36" i="38"/>
  <c r="I36" i="38"/>
  <c r="D36" i="38"/>
  <c r="D33" i="38"/>
  <c r="E33" i="38"/>
  <c r="F33" i="38"/>
  <c r="N35" i="38"/>
  <c r="U60" i="38"/>
  <c r="T60" i="38"/>
  <c r="S60" i="38"/>
  <c r="R60" i="38"/>
  <c r="Q60" i="38"/>
  <c r="P60" i="38"/>
  <c r="O60" i="38"/>
  <c r="N60" i="38"/>
  <c r="M60" i="38"/>
  <c r="L60" i="38"/>
  <c r="K60" i="38"/>
  <c r="J60" i="38"/>
  <c r="I60" i="38"/>
  <c r="H60" i="38"/>
  <c r="G60" i="38"/>
  <c r="F60" i="38"/>
  <c r="E60" i="38"/>
  <c r="D60" i="38"/>
  <c r="C60" i="38"/>
  <c r="B60" i="38"/>
  <c r="V59" i="38"/>
  <c r="V58" i="38"/>
  <c r="V57" i="38"/>
  <c r="V56" i="38"/>
  <c r="V55" i="38"/>
  <c r="V54" i="38"/>
  <c r="V53" i="38"/>
  <c r="V52" i="38"/>
  <c r="V51" i="38"/>
  <c r="V50" i="38"/>
  <c r="C32" i="38"/>
  <c r="D32" i="38" s="1"/>
  <c r="E32" i="38" s="1"/>
  <c r="F32" i="38" s="1"/>
  <c r="G32" i="38" s="1"/>
  <c r="H32" i="38" s="1"/>
  <c r="I32" i="38" s="1"/>
  <c r="J32" i="38" s="1"/>
  <c r="K32" i="38" s="1"/>
  <c r="L32" i="38" s="1"/>
  <c r="M32" i="38" s="1"/>
  <c r="N32" i="38" s="1"/>
  <c r="O32" i="38" s="1"/>
  <c r="P32" i="38" s="1"/>
  <c r="Q32" i="38" s="1"/>
  <c r="R32" i="38" s="1"/>
  <c r="S32" i="38" s="1"/>
  <c r="T32" i="38" s="1"/>
  <c r="U32" i="38" s="1"/>
  <c r="U25" i="38"/>
  <c r="U33" i="38" s="1"/>
  <c r="T25" i="38"/>
  <c r="T42" i="38" s="1"/>
  <c r="S25" i="38"/>
  <c r="R25" i="38"/>
  <c r="R34" i="38" s="1"/>
  <c r="Q25" i="38"/>
  <c r="Q39" i="38" s="1"/>
  <c r="P25" i="38"/>
  <c r="P38" i="38" s="1"/>
  <c r="O25" i="38"/>
  <c r="N25" i="38"/>
  <c r="N39" i="38" s="1"/>
  <c r="M25" i="38"/>
  <c r="M34" i="38" s="1"/>
  <c r="L25" i="38"/>
  <c r="L42" i="38" s="1"/>
  <c r="K25" i="38"/>
  <c r="K33" i="38" s="1"/>
  <c r="J25" i="38"/>
  <c r="J36" i="38" s="1"/>
  <c r="I25" i="38"/>
  <c r="I33" i="38" s="1"/>
  <c r="H25" i="38"/>
  <c r="H36" i="38" s="1"/>
  <c r="G25" i="38"/>
  <c r="G36" i="38" s="1"/>
  <c r="F25" i="38"/>
  <c r="F42" i="38" s="1"/>
  <c r="E25" i="38"/>
  <c r="E42" i="38" s="1"/>
  <c r="D25" i="38"/>
  <c r="D42" i="38" s="1"/>
  <c r="C25" i="38"/>
  <c r="C36" i="38" s="1"/>
  <c r="B25" i="38"/>
  <c r="B36" i="38" s="1"/>
  <c r="C22" i="38"/>
  <c r="D22" i="38" s="1"/>
  <c r="E22" i="38" s="1"/>
  <c r="F22" i="38" s="1"/>
  <c r="G22" i="38" s="1"/>
  <c r="H22" i="38" s="1"/>
  <c r="I22" i="38" s="1"/>
  <c r="J22" i="38" s="1"/>
  <c r="K22" i="38" s="1"/>
  <c r="L22" i="38" s="1"/>
  <c r="M22" i="38" s="1"/>
  <c r="N22" i="38" s="1"/>
  <c r="O22" i="38" s="1"/>
  <c r="P22" i="38" s="1"/>
  <c r="Q22" i="38" s="1"/>
  <c r="R22" i="38" s="1"/>
  <c r="S22" i="38" s="1"/>
  <c r="T22" i="38" s="1"/>
  <c r="U22" i="38" s="1"/>
  <c r="B12" i="38"/>
  <c r="B13" i="38" s="1"/>
  <c r="Q33" i="38"/>
  <c r="R61" i="37"/>
  <c r="R63" i="37"/>
  <c r="R62" i="37"/>
  <c r="U59" i="37"/>
  <c r="T59" i="37"/>
  <c r="S59" i="37"/>
  <c r="R59" i="37"/>
  <c r="Q59" i="37"/>
  <c r="P59" i="37"/>
  <c r="O59" i="37"/>
  <c r="N59" i="37"/>
  <c r="M59" i="37"/>
  <c r="L59" i="37"/>
  <c r="K59" i="37"/>
  <c r="J59" i="37"/>
  <c r="I59" i="37"/>
  <c r="H59" i="37"/>
  <c r="G59" i="37"/>
  <c r="F59" i="37"/>
  <c r="E59" i="37"/>
  <c r="D59" i="37"/>
  <c r="C59" i="37"/>
  <c r="B59" i="37"/>
  <c r="V58" i="37"/>
  <c r="V57" i="37"/>
  <c r="V56" i="37"/>
  <c r="V55" i="37"/>
  <c r="V54" i="37"/>
  <c r="V53" i="37"/>
  <c r="V52" i="37"/>
  <c r="V51" i="37"/>
  <c r="V50" i="37"/>
  <c r="V49" i="37"/>
  <c r="C31" i="37"/>
  <c r="D31" i="37" s="1"/>
  <c r="E31" i="37" s="1"/>
  <c r="F31" i="37" s="1"/>
  <c r="G31" i="37" s="1"/>
  <c r="H31" i="37" s="1"/>
  <c r="I31" i="37" s="1"/>
  <c r="J31" i="37" s="1"/>
  <c r="K31" i="37" s="1"/>
  <c r="L31" i="37" s="1"/>
  <c r="M31" i="37" s="1"/>
  <c r="N31" i="37" s="1"/>
  <c r="O31" i="37" s="1"/>
  <c r="P31" i="37" s="1"/>
  <c r="Q31" i="37" s="1"/>
  <c r="R31" i="37" s="1"/>
  <c r="S31" i="37" s="1"/>
  <c r="T31" i="37" s="1"/>
  <c r="U31" i="37" s="1"/>
  <c r="B77" i="43" l="1"/>
  <c r="N77" i="43"/>
  <c r="D75" i="41"/>
  <c r="D71" i="41"/>
  <c r="D74" i="41"/>
  <c r="P75" i="41"/>
  <c r="P76" i="41"/>
  <c r="P71" i="41"/>
  <c r="P72" i="41"/>
  <c r="D69" i="41"/>
  <c r="D76" i="41"/>
  <c r="D78" i="41"/>
  <c r="D70" i="41"/>
  <c r="P77" i="41"/>
  <c r="P73" i="41"/>
  <c r="D72" i="41"/>
  <c r="P70" i="41"/>
  <c r="P69" i="41"/>
  <c r="D77" i="41"/>
  <c r="D73" i="41"/>
  <c r="P74" i="41"/>
  <c r="P68" i="41"/>
  <c r="S5" i="41"/>
  <c r="W5" i="41" s="1"/>
  <c r="S29" i="41"/>
  <c r="T29" i="41" s="1"/>
  <c r="G61" i="41"/>
  <c r="H61" i="41" s="1"/>
  <c r="J61" i="41" s="1"/>
  <c r="S19" i="41"/>
  <c r="S23" i="41"/>
  <c r="S35" i="41"/>
  <c r="S17" i="41"/>
  <c r="S21" i="41"/>
  <c r="S9" i="41"/>
  <c r="S16" i="41"/>
  <c r="S20" i="41"/>
  <c r="S22" i="41"/>
  <c r="S37" i="41"/>
  <c r="S41" i="41"/>
  <c r="S45" i="41"/>
  <c r="S49" i="41"/>
  <c r="S53" i="41"/>
  <c r="S57" i="41"/>
  <c r="S7" i="41"/>
  <c r="S11" i="41"/>
  <c r="S26" i="41"/>
  <c r="S42" i="41"/>
  <c r="S46" i="41"/>
  <c r="S50" i="41"/>
  <c r="S54" i="41"/>
  <c r="S39" i="41"/>
  <c r="S47" i="41"/>
  <c r="S51" i="41"/>
  <c r="S55" i="41"/>
  <c r="S59" i="41"/>
  <c r="S63" i="41"/>
  <c r="S36" i="41"/>
  <c r="S40" i="41"/>
  <c r="S44" i="41"/>
  <c r="S48" i="41"/>
  <c r="S52" i="41"/>
  <c r="S56" i="41"/>
  <c r="S60" i="41"/>
  <c r="S25" i="41"/>
  <c r="S33" i="41"/>
  <c r="S61" i="41"/>
  <c r="S14" i="41"/>
  <c r="S18" i="41"/>
  <c r="S30" i="41"/>
  <c r="S34" i="41"/>
  <c r="S38" i="41"/>
  <c r="S58" i="41"/>
  <c r="S15" i="41"/>
  <c r="S8" i="41"/>
  <c r="S12" i="41"/>
  <c r="S27" i="41"/>
  <c r="S31" i="41"/>
  <c r="S24" i="41"/>
  <c r="S28" i="41"/>
  <c r="S6" i="41"/>
  <c r="S10" i="41"/>
  <c r="S13" i="41"/>
  <c r="S62" i="41"/>
  <c r="S43" i="41"/>
  <c r="S32" i="41"/>
  <c r="G51" i="41"/>
  <c r="H51" i="41" s="1"/>
  <c r="J51" i="41" s="1"/>
  <c r="G43" i="41"/>
  <c r="H43" i="41" s="1"/>
  <c r="J43" i="41" s="1"/>
  <c r="G35" i="41"/>
  <c r="H35" i="41" s="1"/>
  <c r="J35" i="41" s="1"/>
  <c r="G27" i="41"/>
  <c r="H27" i="41" s="1"/>
  <c r="J27" i="41" s="1"/>
  <c r="G19" i="41"/>
  <c r="H19" i="41" s="1"/>
  <c r="J19" i="41" s="1"/>
  <c r="G45" i="41"/>
  <c r="H45" i="41" s="1"/>
  <c r="J45" i="41" s="1"/>
  <c r="G62" i="41"/>
  <c r="H62" i="41" s="1"/>
  <c r="J62" i="41" s="1"/>
  <c r="G59" i="41"/>
  <c r="H59" i="41" s="1"/>
  <c r="J59" i="41" s="1"/>
  <c r="G20" i="41"/>
  <c r="H20" i="41" s="1"/>
  <c r="J20" i="41" s="1"/>
  <c r="G6" i="41"/>
  <c r="H6" i="41" s="1"/>
  <c r="J6" i="41" s="1"/>
  <c r="S64" i="41"/>
  <c r="G34" i="41"/>
  <c r="H34" i="41" s="1"/>
  <c r="J34" i="41" s="1"/>
  <c r="G26" i="41"/>
  <c r="H26" i="41" s="1"/>
  <c r="J26" i="41" s="1"/>
  <c r="G29" i="41"/>
  <c r="H29" i="41" s="1"/>
  <c r="J29" i="41" s="1"/>
  <c r="G54" i="41"/>
  <c r="H54" i="41" s="1"/>
  <c r="J54" i="41" s="1"/>
  <c r="G22" i="41"/>
  <c r="H22" i="41" s="1"/>
  <c r="J22" i="41" s="1"/>
  <c r="G46" i="41"/>
  <c r="H46" i="41" s="1"/>
  <c r="J46" i="41" s="1"/>
  <c r="G28" i="41"/>
  <c r="H28" i="41" s="1"/>
  <c r="J28" i="41" s="1"/>
  <c r="G52" i="41"/>
  <c r="H52" i="41" s="1"/>
  <c r="J52" i="41" s="1"/>
  <c r="G14" i="41"/>
  <c r="H14" i="41" s="1"/>
  <c r="J14" i="41" s="1"/>
  <c r="G60" i="41"/>
  <c r="H60" i="41" s="1"/>
  <c r="J60" i="41" s="1"/>
  <c r="G53" i="41"/>
  <c r="H53" i="41" s="1"/>
  <c r="J53" i="41" s="1"/>
  <c r="G47" i="41"/>
  <c r="H47" i="41" s="1"/>
  <c r="J47" i="41" s="1"/>
  <c r="G44" i="41"/>
  <c r="H44" i="41" s="1"/>
  <c r="J44" i="41" s="1"/>
  <c r="G13" i="41"/>
  <c r="H13" i="41" s="1"/>
  <c r="J13" i="41" s="1"/>
  <c r="G7" i="41"/>
  <c r="H7" i="41" s="1"/>
  <c r="J7" i="41" s="1"/>
  <c r="G16" i="41"/>
  <c r="H16" i="41" s="1"/>
  <c r="J16" i="41" s="1"/>
  <c r="G12" i="41"/>
  <c r="H12" i="41" s="1"/>
  <c r="J12" i="41" s="1"/>
  <c r="G58" i="41"/>
  <c r="H58" i="41" s="1"/>
  <c r="J58" i="41" s="1"/>
  <c r="G40" i="41"/>
  <c r="H40" i="41" s="1"/>
  <c r="J40" i="41" s="1"/>
  <c r="G15" i="41"/>
  <c r="H15" i="41" s="1"/>
  <c r="J15" i="41" s="1"/>
  <c r="G64" i="41"/>
  <c r="H64" i="41" s="1"/>
  <c r="J64" i="41" s="1"/>
  <c r="G39" i="41"/>
  <c r="H39" i="41" s="1"/>
  <c r="J39" i="41" s="1"/>
  <c r="G21" i="41"/>
  <c r="H21" i="41" s="1"/>
  <c r="J21" i="41" s="1"/>
  <c r="G63" i="41"/>
  <c r="H63" i="41" s="1"/>
  <c r="J63" i="41" s="1"/>
  <c r="G38" i="41"/>
  <c r="H38" i="41" s="1"/>
  <c r="J38" i="41" s="1"/>
  <c r="G11" i="41"/>
  <c r="H11" i="41" s="1"/>
  <c r="J11" i="41" s="1"/>
  <c r="G50" i="41"/>
  <c r="H50" i="41" s="1"/>
  <c r="J50" i="41" s="1"/>
  <c r="G32" i="41"/>
  <c r="H32" i="41" s="1"/>
  <c r="J32" i="41" s="1"/>
  <c r="G10" i="41"/>
  <c r="H10" i="41" s="1"/>
  <c r="J10" i="41" s="1"/>
  <c r="G56" i="41"/>
  <c r="H56" i="41" s="1"/>
  <c r="J56" i="41" s="1"/>
  <c r="G37" i="41"/>
  <c r="H37" i="41" s="1"/>
  <c r="J37" i="41" s="1"/>
  <c r="G31" i="41"/>
  <c r="H31" i="41" s="1"/>
  <c r="J31" i="41" s="1"/>
  <c r="G9" i="41"/>
  <c r="H9" i="41" s="1"/>
  <c r="J9" i="41" s="1"/>
  <c r="G55" i="41"/>
  <c r="H55" i="41" s="1"/>
  <c r="J55" i="41" s="1"/>
  <c r="G49" i="41"/>
  <c r="H49" i="41" s="1"/>
  <c r="J49" i="41" s="1"/>
  <c r="G36" i="41"/>
  <c r="H36" i="41" s="1"/>
  <c r="J36" i="41" s="1"/>
  <c r="G30" i="41"/>
  <c r="H30" i="41" s="1"/>
  <c r="J30" i="41" s="1"/>
  <c r="G25" i="41"/>
  <c r="H25" i="41" s="1"/>
  <c r="J25" i="41" s="1"/>
  <c r="G33" i="41"/>
  <c r="H33" i="41" s="1"/>
  <c r="J33" i="41" s="1"/>
  <c r="G57" i="41"/>
  <c r="H57" i="41" s="1"/>
  <c r="J57" i="41" s="1"/>
  <c r="G5" i="41"/>
  <c r="H5" i="41" s="1"/>
  <c r="J5" i="41" s="1"/>
  <c r="G8" i="41"/>
  <c r="H8" i="41" s="1"/>
  <c r="J8" i="41" s="1"/>
  <c r="G48" i="41"/>
  <c r="H48" i="41" s="1"/>
  <c r="J48" i="41" s="1"/>
  <c r="G42" i="41"/>
  <c r="H42" i="41" s="1"/>
  <c r="J42" i="41" s="1"/>
  <c r="G24" i="41"/>
  <c r="H24" i="41" s="1"/>
  <c r="J24" i="41" s="1"/>
  <c r="G18" i="41"/>
  <c r="H18" i="41" s="1"/>
  <c r="J18" i="41" s="1"/>
  <c r="G23" i="41"/>
  <c r="H23" i="41" s="1"/>
  <c r="J23" i="41" s="1"/>
  <c r="G17" i="41"/>
  <c r="H17" i="41" s="1"/>
  <c r="J17" i="41" s="1"/>
  <c r="G41" i="41"/>
  <c r="H41" i="41" s="1"/>
  <c r="J41" i="41" s="1"/>
  <c r="U42" i="38"/>
  <c r="P33" i="38"/>
  <c r="E36" i="38"/>
  <c r="M39" i="38"/>
  <c r="N38" i="38"/>
  <c r="P37" i="38"/>
  <c r="G33" i="38"/>
  <c r="F36" i="38"/>
  <c r="M38" i="38"/>
  <c r="N37" i="38"/>
  <c r="Q41" i="38"/>
  <c r="G42" i="38"/>
  <c r="M37" i="38"/>
  <c r="Q40" i="38"/>
  <c r="L33" i="38"/>
  <c r="I42" i="38"/>
  <c r="N34" i="38"/>
  <c r="R40" i="38"/>
  <c r="S36" i="38"/>
  <c r="S42" i="38"/>
  <c r="K42" i="38"/>
  <c r="C33" i="38"/>
  <c r="C42" i="38"/>
  <c r="R35" i="38"/>
  <c r="K36" i="38"/>
  <c r="M33" i="38"/>
  <c r="N33" i="38"/>
  <c r="O40" i="38"/>
  <c r="O41" i="38"/>
  <c r="O34" i="38"/>
  <c r="O35" i="38"/>
  <c r="R37" i="38"/>
  <c r="R38" i="38"/>
  <c r="R39" i="38"/>
  <c r="J42" i="38"/>
  <c r="S33" i="38"/>
  <c r="B33" i="38"/>
  <c r="P41" i="38"/>
  <c r="P34" i="38"/>
  <c r="P35" i="38"/>
  <c r="B42" i="38"/>
  <c r="J33" i="38"/>
  <c r="P40" i="38"/>
  <c r="Q34" i="38"/>
  <c r="Q35" i="38"/>
  <c r="Q37" i="38"/>
  <c r="P62" i="38"/>
  <c r="H42" i="38"/>
  <c r="R33" i="38"/>
  <c r="P39" i="38"/>
  <c r="R41" i="38"/>
  <c r="H33" i="38"/>
  <c r="M35" i="38"/>
  <c r="T36" i="38"/>
  <c r="B14" i="38"/>
  <c r="V60" i="38"/>
  <c r="P63" i="38" s="1"/>
  <c r="E62" i="37"/>
  <c r="E61" i="37"/>
  <c r="E63" i="37"/>
  <c r="V59" i="37"/>
  <c r="P61" i="37" s="1"/>
  <c r="C25" i="37"/>
  <c r="D25" i="37"/>
  <c r="E25" i="37"/>
  <c r="F25" i="37"/>
  <c r="G25" i="37"/>
  <c r="H25" i="37"/>
  <c r="I25" i="37"/>
  <c r="J25" i="37"/>
  <c r="K25" i="37"/>
  <c r="L25" i="37"/>
  <c r="M25" i="37"/>
  <c r="N25" i="37"/>
  <c r="O25" i="37"/>
  <c r="P25" i="37"/>
  <c r="Q25" i="37"/>
  <c r="R25" i="37"/>
  <c r="S25" i="37"/>
  <c r="T25" i="37"/>
  <c r="U25" i="37"/>
  <c r="B25" i="37"/>
  <c r="C22" i="37"/>
  <c r="D22" i="37" s="1"/>
  <c r="E22" i="37" s="1"/>
  <c r="F22" i="37" s="1"/>
  <c r="G22" i="37" s="1"/>
  <c r="H22" i="37" s="1"/>
  <c r="I22" i="37" s="1"/>
  <c r="J22" i="37" s="1"/>
  <c r="K22" i="37" s="1"/>
  <c r="L22" i="37" s="1"/>
  <c r="M22" i="37" s="1"/>
  <c r="N22" i="37" s="1"/>
  <c r="O22" i="37" s="1"/>
  <c r="P22" i="37" s="1"/>
  <c r="Q22" i="37" s="1"/>
  <c r="R22" i="37" s="1"/>
  <c r="S22" i="37" s="1"/>
  <c r="T22" i="37" s="1"/>
  <c r="U22" i="37" s="1"/>
  <c r="E11" i="37"/>
  <c r="D11" i="37"/>
  <c r="C11" i="37"/>
  <c r="B12" i="37"/>
  <c r="B13" i="37" s="1"/>
  <c r="B14" i="37" s="1"/>
  <c r="B15" i="37" s="1"/>
  <c r="B16" i="37" s="1"/>
  <c r="B17" i="37" s="1"/>
  <c r="B18" i="37" s="1"/>
  <c r="B19" i="37" s="1"/>
  <c r="B20" i="37" s="1"/>
  <c r="E20" i="37" s="1"/>
  <c r="B37" i="36"/>
  <c r="B38" i="36" s="1"/>
  <c r="B39" i="36" s="1"/>
  <c r="B40" i="36" s="1"/>
  <c r="B41" i="36" s="1"/>
  <c r="B42" i="36" s="1"/>
  <c r="B43" i="36" s="1"/>
  <c r="B44" i="36" s="1"/>
  <c r="B45" i="36" s="1"/>
  <c r="A5" i="36" a="1"/>
  <c r="A5" i="36" s="1"/>
  <c r="P78" i="41" l="1"/>
  <c r="J68" i="41"/>
  <c r="W29" i="41"/>
  <c r="X29" i="41" s="1"/>
  <c r="D79" i="41"/>
  <c r="E79" i="41" s="1"/>
  <c r="C9" i="43"/>
  <c r="C8" i="43"/>
  <c r="C7" i="43"/>
  <c r="C6" i="43"/>
  <c r="C5" i="43"/>
  <c r="T5" i="41"/>
  <c r="X5" i="41" s="1"/>
  <c r="J70" i="41"/>
  <c r="T64" i="41"/>
  <c r="W64" i="41"/>
  <c r="T33" i="41"/>
  <c r="W33" i="41"/>
  <c r="T36" i="41"/>
  <c r="W36" i="41"/>
  <c r="T50" i="41"/>
  <c r="W50" i="41"/>
  <c r="T49" i="41"/>
  <c r="W49" i="41"/>
  <c r="T21" i="41"/>
  <c r="W21" i="41"/>
  <c r="T46" i="41"/>
  <c r="W46" i="41"/>
  <c r="T45" i="41"/>
  <c r="W45" i="41"/>
  <c r="T17" i="41"/>
  <c r="W17" i="41"/>
  <c r="T63" i="41"/>
  <c r="W63" i="41"/>
  <c r="T24" i="41"/>
  <c r="W24" i="41"/>
  <c r="T41" i="41"/>
  <c r="W41" i="41"/>
  <c r="T32" i="41"/>
  <c r="W32" i="41"/>
  <c r="T34" i="41"/>
  <c r="W34" i="41"/>
  <c r="T56" i="41"/>
  <c r="W56" i="41"/>
  <c r="T55" i="41"/>
  <c r="W55" i="41"/>
  <c r="T26" i="41"/>
  <c r="W26" i="41"/>
  <c r="T37" i="41"/>
  <c r="W37" i="41"/>
  <c r="T23" i="41"/>
  <c r="W23" i="41"/>
  <c r="T28" i="41"/>
  <c r="W28" i="41"/>
  <c r="T60" i="41"/>
  <c r="W60" i="41"/>
  <c r="T35" i="41"/>
  <c r="W35" i="41"/>
  <c r="T31" i="41"/>
  <c r="W31" i="41"/>
  <c r="T52" i="41"/>
  <c r="W52" i="41"/>
  <c r="T51" i="41"/>
  <c r="W51" i="41"/>
  <c r="T11" i="41"/>
  <c r="W11" i="41"/>
  <c r="T19" i="41"/>
  <c r="W19" i="41"/>
  <c r="T62" i="41"/>
  <c r="W62" i="41"/>
  <c r="T27" i="41"/>
  <c r="W27" i="41"/>
  <c r="T18" i="41"/>
  <c r="W18" i="41"/>
  <c r="T48" i="41"/>
  <c r="W48" i="41"/>
  <c r="T47" i="41"/>
  <c r="W47" i="41"/>
  <c r="T20" i="41"/>
  <c r="W20" i="41"/>
  <c r="T25" i="41"/>
  <c r="W25" i="41"/>
  <c r="T38" i="41"/>
  <c r="W38" i="41"/>
  <c r="T59" i="41"/>
  <c r="W59" i="41"/>
  <c r="T42" i="41"/>
  <c r="W42" i="41"/>
  <c r="T43" i="41"/>
  <c r="W43" i="41"/>
  <c r="T30" i="41"/>
  <c r="W30" i="41"/>
  <c r="T22" i="41"/>
  <c r="W22" i="41"/>
  <c r="T12" i="41"/>
  <c r="W12" i="41"/>
  <c r="T44" i="41"/>
  <c r="W44" i="41"/>
  <c r="T39" i="41"/>
  <c r="W39" i="41"/>
  <c r="T57" i="41"/>
  <c r="W57" i="41"/>
  <c r="T58" i="41"/>
  <c r="W58" i="41"/>
  <c r="J74" i="41"/>
  <c r="T61" i="41"/>
  <c r="W61" i="41"/>
  <c r="T40" i="41"/>
  <c r="W40" i="41"/>
  <c r="T54" i="41"/>
  <c r="W54" i="41"/>
  <c r="T53" i="41"/>
  <c r="W53" i="41"/>
  <c r="J71" i="41"/>
  <c r="J77" i="41"/>
  <c r="J75" i="41"/>
  <c r="J76" i="41"/>
  <c r="J72" i="41"/>
  <c r="J73" i="41"/>
  <c r="J69" i="41"/>
  <c r="T16" i="41"/>
  <c r="W16" i="41"/>
  <c r="T15" i="41"/>
  <c r="W15" i="41"/>
  <c r="T14" i="41"/>
  <c r="W14" i="41"/>
  <c r="T13" i="41"/>
  <c r="W13" i="41"/>
  <c r="T10" i="41"/>
  <c r="W10" i="41"/>
  <c r="T9" i="41"/>
  <c r="W9" i="41"/>
  <c r="T8" i="41"/>
  <c r="W8" i="41"/>
  <c r="T7" i="41"/>
  <c r="W7" i="41"/>
  <c r="T6" i="41"/>
  <c r="W6" i="41"/>
  <c r="F34" i="38"/>
  <c r="E34" i="38"/>
  <c r="L34" i="38"/>
  <c r="D34" i="38"/>
  <c r="K34" i="38"/>
  <c r="G34" i="38"/>
  <c r="H34" i="38"/>
  <c r="B34" i="38"/>
  <c r="I34" i="38"/>
  <c r="J34" i="38"/>
  <c r="C34" i="38"/>
  <c r="S34" i="38"/>
  <c r="T34" i="38"/>
  <c r="U34" i="38"/>
  <c r="G35" i="38"/>
  <c r="F35" i="38"/>
  <c r="E35" i="38"/>
  <c r="L35" i="38"/>
  <c r="J35" i="38"/>
  <c r="C35" i="38"/>
  <c r="K35" i="38"/>
  <c r="B35" i="38"/>
  <c r="I35" i="38"/>
  <c r="D35" i="38"/>
  <c r="H35" i="38"/>
  <c r="U35" i="38"/>
  <c r="S35" i="38"/>
  <c r="T35" i="38"/>
  <c r="B15" i="38"/>
  <c r="C12" i="37"/>
  <c r="C33" i="37" s="1"/>
  <c r="P62" i="37"/>
  <c r="P63" i="37"/>
  <c r="E19" i="37"/>
  <c r="T40" i="37" s="1"/>
  <c r="R32" i="37"/>
  <c r="N32" i="37"/>
  <c r="M32" i="37"/>
  <c r="O32" i="37"/>
  <c r="P32" i="37"/>
  <c r="Q32" i="37"/>
  <c r="T32" i="37"/>
  <c r="U32" i="37"/>
  <c r="S32" i="37"/>
  <c r="U40" i="37"/>
  <c r="L33" i="37"/>
  <c r="K33" i="37"/>
  <c r="I33" i="37"/>
  <c r="E33" i="37"/>
  <c r="J33" i="37"/>
  <c r="D33" i="37"/>
  <c r="H33" i="37"/>
  <c r="G33" i="37"/>
  <c r="F33" i="37"/>
  <c r="I32" i="37"/>
  <c r="J32" i="37"/>
  <c r="D32" i="37"/>
  <c r="K32" i="37"/>
  <c r="F32" i="37"/>
  <c r="G32" i="37"/>
  <c r="C32" i="37"/>
  <c r="L32" i="37"/>
  <c r="E32" i="37"/>
  <c r="H32" i="37"/>
  <c r="C18" i="37"/>
  <c r="T41" i="37"/>
  <c r="S41" i="37"/>
  <c r="U41" i="37"/>
  <c r="D18" i="37"/>
  <c r="C17" i="37"/>
  <c r="D17" i="37"/>
  <c r="C16" i="37"/>
  <c r="C15" i="37"/>
  <c r="D15" i="37"/>
  <c r="E16" i="37"/>
  <c r="D16" i="37"/>
  <c r="C14" i="37"/>
  <c r="C13" i="37"/>
  <c r="D13" i="37"/>
  <c r="E14" i="37"/>
  <c r="E18" i="37"/>
  <c r="E17" i="37"/>
  <c r="D14" i="37"/>
  <c r="C20" i="37"/>
  <c r="D20" i="37"/>
  <c r="D12" i="37"/>
  <c r="E13" i="37"/>
  <c r="E15" i="37"/>
  <c r="C19" i="37"/>
  <c r="D19" i="37"/>
  <c r="E12" i="37"/>
  <c r="A2" i="27" a="1"/>
  <c r="A2" i="27" s="1"/>
  <c r="E78" i="41" l="1"/>
  <c r="E75" i="41"/>
  <c r="E73" i="41"/>
  <c r="E77" i="41"/>
  <c r="E70" i="41"/>
  <c r="E76" i="41"/>
  <c r="E74" i="41"/>
  <c r="E72" i="41"/>
  <c r="E71" i="41"/>
  <c r="E69" i="41"/>
  <c r="C10" i="43"/>
  <c r="Q78" i="41"/>
  <c r="Q70" i="41"/>
  <c r="Q69" i="41"/>
  <c r="Q77" i="41"/>
  <c r="Q76" i="41"/>
  <c r="Q73" i="41"/>
  <c r="Q71" i="41"/>
  <c r="Q72" i="41"/>
  <c r="Q75" i="41"/>
  <c r="Q68" i="41"/>
  <c r="J78" i="41"/>
  <c r="K78" i="41" s="1"/>
  <c r="Q74" i="41"/>
  <c r="X9" i="41"/>
  <c r="X15" i="41"/>
  <c r="X44" i="41"/>
  <c r="X25" i="41"/>
  <c r="X11" i="41"/>
  <c r="X34" i="41"/>
  <c r="X63" i="41"/>
  <c r="X33" i="41"/>
  <c r="X40" i="41"/>
  <c r="X22" i="41"/>
  <c r="X47" i="41"/>
  <c r="X62" i="41"/>
  <c r="X28" i="41"/>
  <c r="X55" i="41"/>
  <c r="X41" i="41"/>
  <c r="X50" i="41"/>
  <c r="X59" i="41"/>
  <c r="X57" i="41"/>
  <c r="X53" i="41"/>
  <c r="X52" i="41"/>
  <c r="X45" i="41"/>
  <c r="X43" i="41"/>
  <c r="X37" i="41"/>
  <c r="X35" i="41"/>
  <c r="X21" i="41"/>
  <c r="X18" i="41"/>
  <c r="X61" i="41"/>
  <c r="X39" i="41"/>
  <c r="X30" i="41"/>
  <c r="X38" i="41"/>
  <c r="X48" i="41"/>
  <c r="X19" i="41"/>
  <c r="X31" i="41"/>
  <c r="X23" i="41"/>
  <c r="X56" i="41"/>
  <c r="X24" i="41"/>
  <c r="X46" i="41"/>
  <c r="X36" i="41"/>
  <c r="X6" i="41"/>
  <c r="X10" i="41"/>
  <c r="X16" i="41"/>
  <c r="X13" i="41"/>
  <c r="X58" i="41"/>
  <c r="X20" i="41"/>
  <c r="X51" i="41"/>
  <c r="X26" i="41"/>
  <c r="X32" i="41"/>
  <c r="X17" i="41"/>
  <c r="X49" i="41"/>
  <c r="X64" i="41"/>
  <c r="X7" i="41"/>
  <c r="X54" i="41"/>
  <c r="X12" i="41"/>
  <c r="X27" i="41"/>
  <c r="X60" i="41"/>
  <c r="X8" i="41"/>
  <c r="X14" i="41"/>
  <c r="X42" i="41"/>
  <c r="R36" i="38"/>
  <c r="Q36" i="38"/>
  <c r="M36" i="38"/>
  <c r="P36" i="38"/>
  <c r="N36" i="38"/>
  <c r="O36" i="38"/>
  <c r="B16" i="38"/>
  <c r="B33" i="37"/>
  <c r="S40" i="37"/>
  <c r="H38" i="37"/>
  <c r="B38" i="37"/>
  <c r="G38" i="37"/>
  <c r="F38" i="37"/>
  <c r="I38" i="37"/>
  <c r="J38" i="37"/>
  <c r="E38" i="37"/>
  <c r="D38" i="37"/>
  <c r="L38" i="37"/>
  <c r="C38" i="37"/>
  <c r="K38" i="37"/>
  <c r="O39" i="37"/>
  <c r="R39" i="37"/>
  <c r="Q39" i="37"/>
  <c r="P39" i="37"/>
  <c r="N39" i="37"/>
  <c r="M39" i="37"/>
  <c r="R37" i="37"/>
  <c r="Q37" i="37"/>
  <c r="P37" i="37"/>
  <c r="O37" i="37"/>
  <c r="N37" i="37"/>
  <c r="M37" i="37"/>
  <c r="U33" i="37"/>
  <c r="S33" i="37"/>
  <c r="T33" i="37"/>
  <c r="N40" i="37"/>
  <c r="O40" i="37"/>
  <c r="R40" i="37"/>
  <c r="Q40" i="37"/>
  <c r="P40" i="37"/>
  <c r="M40" i="37"/>
  <c r="K40" i="37"/>
  <c r="J40" i="37"/>
  <c r="I40" i="37"/>
  <c r="H40" i="37"/>
  <c r="B40" i="37"/>
  <c r="L40" i="37"/>
  <c r="C40" i="37"/>
  <c r="G40" i="37"/>
  <c r="F40" i="37"/>
  <c r="E40" i="37"/>
  <c r="D40" i="37"/>
  <c r="U39" i="37"/>
  <c r="T39" i="37"/>
  <c r="S39" i="37"/>
  <c r="F36" i="37"/>
  <c r="E36" i="37"/>
  <c r="D36" i="37"/>
  <c r="I36" i="37"/>
  <c r="H36" i="37"/>
  <c r="B36" i="37"/>
  <c r="G36" i="37"/>
  <c r="L36" i="37"/>
  <c r="C36" i="37"/>
  <c r="K36" i="37"/>
  <c r="J36" i="37"/>
  <c r="I39" i="37"/>
  <c r="H39" i="37"/>
  <c r="B39" i="37"/>
  <c r="G39" i="37"/>
  <c r="D39" i="37"/>
  <c r="C39" i="37"/>
  <c r="J39" i="37"/>
  <c r="F39" i="37"/>
  <c r="E39" i="37"/>
  <c r="L39" i="37"/>
  <c r="K39" i="37"/>
  <c r="D34" i="37"/>
  <c r="L34" i="37"/>
  <c r="C34" i="37"/>
  <c r="B34" i="37"/>
  <c r="J34" i="37"/>
  <c r="G34" i="37"/>
  <c r="K34" i="37"/>
  <c r="F34" i="37"/>
  <c r="I34" i="37"/>
  <c r="H34" i="37"/>
  <c r="E34" i="37"/>
  <c r="N41" i="37"/>
  <c r="M41" i="37"/>
  <c r="Q41" i="37"/>
  <c r="O41" i="37"/>
  <c r="R41" i="37"/>
  <c r="P41" i="37"/>
  <c r="U37" i="37"/>
  <c r="T37" i="37"/>
  <c r="S37" i="37"/>
  <c r="Q36" i="37"/>
  <c r="P36" i="37"/>
  <c r="O36" i="37"/>
  <c r="R36" i="37"/>
  <c r="N36" i="37"/>
  <c r="M36" i="37"/>
  <c r="U36" i="37"/>
  <c r="T36" i="37"/>
  <c r="S36" i="37"/>
  <c r="G37" i="37"/>
  <c r="F37" i="37"/>
  <c r="E37" i="37"/>
  <c r="K37" i="37"/>
  <c r="J37" i="37"/>
  <c r="B37" i="37"/>
  <c r="D37" i="37"/>
  <c r="L37" i="37"/>
  <c r="C37" i="37"/>
  <c r="I37" i="37"/>
  <c r="H37" i="37"/>
  <c r="N33" i="37"/>
  <c r="P33" i="37"/>
  <c r="O33" i="37"/>
  <c r="M33" i="37"/>
  <c r="R33" i="37"/>
  <c r="Q33" i="37"/>
  <c r="E35" i="37"/>
  <c r="D35" i="37"/>
  <c r="F35" i="37"/>
  <c r="L35" i="37"/>
  <c r="C35" i="37"/>
  <c r="K35" i="37"/>
  <c r="J35" i="37"/>
  <c r="I35" i="37"/>
  <c r="H35" i="37"/>
  <c r="B35" i="37"/>
  <c r="G35" i="37"/>
  <c r="L41" i="37"/>
  <c r="C41" i="37"/>
  <c r="K41" i="37"/>
  <c r="J41" i="37"/>
  <c r="I41" i="37"/>
  <c r="F41" i="37"/>
  <c r="D41" i="37"/>
  <c r="E41" i="37"/>
  <c r="H41" i="37"/>
  <c r="B41" i="37"/>
  <c r="G41" i="37"/>
  <c r="P35" i="37"/>
  <c r="O35" i="37"/>
  <c r="Q35" i="37"/>
  <c r="N35" i="37"/>
  <c r="M35" i="37"/>
  <c r="R35" i="37"/>
  <c r="U38" i="37"/>
  <c r="T38" i="37"/>
  <c r="S38" i="37"/>
  <c r="T35" i="37"/>
  <c r="S35" i="37"/>
  <c r="U35" i="37"/>
  <c r="S34" i="37"/>
  <c r="T34" i="37"/>
  <c r="U34" i="37"/>
  <c r="O34" i="37"/>
  <c r="N34" i="37"/>
  <c r="M34" i="37"/>
  <c r="R34" i="37"/>
  <c r="P34" i="37"/>
  <c r="Q34" i="37"/>
  <c r="R38" i="37"/>
  <c r="M38" i="37"/>
  <c r="Q38" i="37"/>
  <c r="P38" i="37"/>
  <c r="O38" i="37"/>
  <c r="N38" i="37"/>
  <c r="G3" i="27" a="1"/>
  <c r="G3" i="27" s="1"/>
  <c r="H3" i="27" s="1" a="1"/>
  <c r="H3" i="27" s="1"/>
  <c r="Y68" i="41" l="1"/>
  <c r="K68" i="41"/>
  <c r="K72" i="41"/>
  <c r="L7" i="43"/>
  <c r="K73" i="41"/>
  <c r="L8" i="43"/>
  <c r="K76" i="41"/>
  <c r="K71" i="41"/>
  <c r="K70" i="41"/>
  <c r="K77" i="41"/>
  <c r="L6" i="43"/>
  <c r="K74" i="41"/>
  <c r="L9" i="43"/>
  <c r="K69" i="41"/>
  <c r="K75" i="41"/>
  <c r="L5" i="43"/>
  <c r="Y74" i="41"/>
  <c r="Y76" i="41"/>
  <c r="Y75" i="41"/>
  <c r="Y73" i="41"/>
  <c r="Y71" i="41"/>
  <c r="Y70" i="41"/>
  <c r="Y77" i="41"/>
  <c r="Y72" i="41"/>
  <c r="Y69" i="41"/>
  <c r="U37" i="38"/>
  <c r="T37" i="38"/>
  <c r="S37" i="38"/>
  <c r="I37" i="38"/>
  <c r="H37" i="38"/>
  <c r="B37" i="38"/>
  <c r="G37" i="38"/>
  <c r="F37" i="38"/>
  <c r="J37" i="38"/>
  <c r="C37" i="38"/>
  <c r="D37" i="38"/>
  <c r="K37" i="38"/>
  <c r="E37" i="38"/>
  <c r="L37" i="38"/>
  <c r="B17" i="38"/>
  <c r="G12" i="2"/>
  <c r="G13" i="2"/>
  <c r="G14" i="2"/>
  <c r="G15" i="2"/>
  <c r="G11" i="2"/>
  <c r="C12" i="2"/>
  <c r="C13" i="2"/>
  <c r="C14" i="2"/>
  <c r="C15" i="2"/>
  <c r="C11" i="2"/>
  <c r="L10" i="43" l="1"/>
  <c r="Y78" i="41"/>
  <c r="Z71" i="41" s="1"/>
  <c r="U38" i="38"/>
  <c r="T38" i="38"/>
  <c r="S38" i="38"/>
  <c r="J38" i="38"/>
  <c r="I38" i="38"/>
  <c r="H38" i="38"/>
  <c r="B38" i="38"/>
  <c r="L38" i="38"/>
  <c r="F38" i="38"/>
  <c r="C38" i="38"/>
  <c r="D38" i="38"/>
  <c r="E38" i="38"/>
  <c r="G38" i="38"/>
  <c r="K38" i="38"/>
  <c r="B18" i="38"/>
  <c r="A6" i="2" a="1"/>
  <c r="A6" i="2" s="1"/>
  <c r="Z70" i="41" l="1"/>
  <c r="Z73" i="41"/>
  <c r="Z77" i="41"/>
  <c r="Z74" i="41"/>
  <c r="Z75" i="41"/>
  <c r="Z68" i="41"/>
  <c r="Z72" i="41"/>
  <c r="Z69" i="41"/>
  <c r="Z76" i="41"/>
  <c r="Z78" i="41"/>
  <c r="U39" i="38"/>
  <c r="T39" i="38"/>
  <c r="S39" i="38"/>
  <c r="K39" i="38"/>
  <c r="C39" i="38"/>
  <c r="J39" i="38"/>
  <c r="I39" i="38"/>
  <c r="E39" i="38"/>
  <c r="L39" i="38"/>
  <c r="F39" i="38"/>
  <c r="G39" i="38"/>
  <c r="H39" i="38"/>
  <c r="D39" i="38"/>
  <c r="B39" i="38"/>
  <c r="B19" i="38"/>
  <c r="U40" i="38" l="1"/>
  <c r="S40" i="38"/>
  <c r="T40" i="38"/>
  <c r="L40" i="38"/>
  <c r="D40" i="38"/>
  <c r="K40" i="38"/>
  <c r="C40" i="38"/>
  <c r="J40" i="38"/>
  <c r="I40" i="38"/>
  <c r="E40" i="38"/>
  <c r="F40" i="38"/>
  <c r="G40" i="38"/>
  <c r="H40" i="38"/>
  <c r="B40" i="38"/>
  <c r="B20" i="38"/>
  <c r="U41" i="38" l="1"/>
  <c r="S41" i="38"/>
  <c r="T41" i="38"/>
  <c r="E41" i="38"/>
  <c r="L41" i="38"/>
  <c r="D41" i="38"/>
  <c r="K41" i="38"/>
  <c r="C41" i="38"/>
  <c r="B41" i="38"/>
  <c r="I41" i="38"/>
  <c r="J41" i="38"/>
  <c r="G41" i="38"/>
  <c r="H41" i="38"/>
  <c r="F41" i="38"/>
  <c r="Q42" i="38" l="1"/>
  <c r="M42" i="38"/>
  <c r="P42" i="38"/>
  <c r="N42" i="38"/>
  <c r="O42" i="38"/>
  <c r="R42" i="38"/>
  <c r="A67" i="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<sst xmlns="http://schemas.openxmlformats.org/spreadsheetml/2006/main" count="4891" uniqueCount="1629">
  <si>
    <t>Identification des membres d'une équipe</t>
  </si>
  <si>
    <t>Veuillez complétez les cellules grises ci-dessous</t>
  </si>
  <si>
    <t>Identification des membres</t>
  </si>
  <si>
    <t>#</t>
  </si>
  <si>
    <t>Matricule</t>
  </si>
  <si>
    <t>Nom, Prénom</t>
  </si>
  <si>
    <t>Section</t>
  </si>
  <si>
    <r>
      <t>Ne changez pas le nom et la mise en page de cette feuille (</t>
    </r>
    <r>
      <rPr>
        <b/>
        <sz val="11"/>
        <color rgb="FFC00000"/>
        <rFont val="Calibri"/>
        <family val="2"/>
        <scheme val="minor"/>
      </rPr>
      <t>Identification</t>
    </r>
    <r>
      <rPr>
        <b/>
        <sz val="11"/>
        <color theme="1"/>
        <rFont val="Calibri"/>
        <family val="2"/>
        <scheme val="minor"/>
      </rPr>
      <t>) s'il vous plaît.</t>
    </r>
  </si>
  <si>
    <r>
      <rPr>
        <b/>
        <sz val="12"/>
        <color rgb="FF9C0006"/>
        <rFont val="Calibri"/>
        <family val="2"/>
        <scheme val="minor"/>
      </rPr>
      <t xml:space="preserve">ATTENTION : </t>
    </r>
    <r>
      <rPr>
        <sz val="12"/>
        <color rgb="FF9C0006"/>
        <rFont val="Calibri"/>
        <family val="2"/>
        <scheme val="minor"/>
      </rPr>
      <t xml:space="preserve">N'oubliez pas d'enregistrer ce fichier au format ".xlsm" </t>
    </r>
    <r>
      <rPr>
        <u/>
        <sz val="12"/>
        <color rgb="FF9C0006"/>
        <rFont val="Calibri"/>
        <family val="2"/>
        <scheme val="minor"/>
      </rPr>
      <t>(classeur prenant en charge les macros)</t>
    </r>
    <r>
      <rPr>
        <sz val="12"/>
        <color rgb="FF9C0006"/>
        <rFont val="Calibri"/>
        <family val="2"/>
        <scheme val="minor"/>
      </rPr>
      <t xml:space="preserve"> et </t>
    </r>
    <r>
      <rPr>
        <b/>
        <u/>
        <sz val="12"/>
        <color rgb="FF9C0006"/>
        <rFont val="Calibri"/>
        <family val="2"/>
        <scheme val="minor"/>
      </rPr>
      <t>d'activer les macros.</t>
    </r>
    <r>
      <rPr>
        <sz val="12"/>
        <color rgb="FF9C0006"/>
        <rFont val="Calibri"/>
        <family val="2"/>
        <scheme val="minor"/>
      </rPr>
      <t xml:space="preserve"> </t>
    </r>
  </si>
  <si>
    <t>Liens utiles - Problématiques</t>
  </si>
  <si>
    <t>Problématiques connues - Solveur (Utile pour le rapport 1)</t>
  </si>
  <si>
    <t>Problématiques connues - Fichier lent : Quoi faire ? (Utile pour le rapport 2)</t>
  </si>
  <si>
    <t>Problématiques connues - Liste complète</t>
  </si>
  <si>
    <t>Données - Voir l'énoncé PDF pour plus d'informations</t>
  </si>
  <si>
    <t>Stade</t>
  </si>
  <si>
    <t>Ville</t>
  </si>
  <si>
    <t>Pays</t>
  </si>
  <si>
    <t>Capacité</t>
  </si>
  <si>
    <t>% Billets vendus</t>
  </si>
  <si>
    <t>Coûts ($)</t>
  </si>
  <si>
    <t>Taxe (Option 2)</t>
  </si>
  <si>
    <t>Stade Santiago-Bernabéu</t>
  </si>
  <si>
    <t>Madrid</t>
  </si>
  <si>
    <t>Espagne</t>
  </si>
  <si>
    <t>Wanda Metropolitano</t>
  </si>
  <si>
    <t>La Romareda</t>
  </si>
  <si>
    <t>Saragosse</t>
  </si>
  <si>
    <t>Stage Front Stadium</t>
  </si>
  <si>
    <t>Barcelone</t>
  </si>
  <si>
    <t>Camp Nou</t>
  </si>
  <si>
    <t>Stade d'Anoeta</t>
  </si>
  <si>
    <t>Saint-Sébastien</t>
  </si>
  <si>
    <t>San Mamés</t>
  </si>
  <si>
    <t>Bilbao</t>
  </si>
  <si>
    <t>Stade de Riazor</t>
  </si>
  <si>
    <t>La Corogne</t>
  </si>
  <si>
    <t>Stade de la Cartuja</t>
  </si>
  <si>
    <t>Séville</t>
  </si>
  <si>
    <t>Stade de La Rosaleda</t>
  </si>
  <si>
    <t>Malaga</t>
  </si>
  <si>
    <t>Stade de Grande Canarie</t>
  </si>
  <si>
    <t>Las Palmas</t>
  </si>
  <si>
    <t>Grande Stade Hassan II</t>
  </si>
  <si>
    <t>Benslimane</t>
  </si>
  <si>
    <t>Maroc</t>
  </si>
  <si>
    <t>Stade Adrar (Grand Stade d'Agadir)</t>
  </si>
  <si>
    <t>Agadir</t>
  </si>
  <si>
    <t>Grand stade de Marrakech</t>
  </si>
  <si>
    <t>Marrakech</t>
  </si>
  <si>
    <t>Stade du Complexe sportif de Fès</t>
  </si>
  <si>
    <t>Fès</t>
  </si>
  <si>
    <t>Stade Ibn-Batouta</t>
  </si>
  <si>
    <t>Tanger</t>
  </si>
  <si>
    <t>Complexe sportif Moulay-Abdallah</t>
  </si>
  <si>
    <t>Rabat</t>
  </si>
  <si>
    <t>Stade du Dragon</t>
  </si>
  <si>
    <t>Porto</t>
  </si>
  <si>
    <t>Portugal</t>
  </si>
  <si>
    <t>Stade José Alavalade XXI</t>
  </si>
  <si>
    <t>Lisbonne</t>
  </si>
  <si>
    <t>Stade de la Luz</t>
  </si>
  <si>
    <t xml:space="preserve">Nombre de match par groupe </t>
  </si>
  <si>
    <t>Nombre minimum de match par stade</t>
  </si>
  <si>
    <t>Nombre maximum de match par stade</t>
  </si>
  <si>
    <t>Nombre maximum de match d'un même groupe par stade</t>
  </si>
  <si>
    <t xml:space="preserve">Prix de vente d'un billet (tous stades confondus) </t>
  </si>
  <si>
    <t>Prix de vente d'un billet (tous stades confondus)</t>
  </si>
  <si>
    <t>Groupe</t>
  </si>
  <si>
    <t>Supplément</t>
  </si>
  <si>
    <t>A</t>
  </si>
  <si>
    <t>B</t>
  </si>
  <si>
    <t>C</t>
  </si>
  <si>
    <t>D</t>
  </si>
  <si>
    <t>E</t>
  </si>
  <si>
    <t>F</t>
  </si>
  <si>
    <t>G</t>
  </si>
  <si>
    <t>H</t>
  </si>
  <si>
    <t>I</t>
  </si>
  <si>
    <t>J</t>
  </si>
  <si>
    <t xml:space="preserve">Option 1 </t>
  </si>
  <si>
    <t xml:space="preserve">Varibles de décisions </t>
  </si>
  <si>
    <t xml:space="preserve">Variables de decisions </t>
  </si>
  <si>
    <t xml:space="preserve">Xi= nombre de match d'un groupe 
Xj= nombre d'un match par stades 
Xij= nombre de match d'un groupe par stades </t>
  </si>
  <si>
    <t>Xij= Xa1, Xa2…Xa20; Xb1, Xb2…Xb20;….Xj1,Xj2,…Xj20</t>
  </si>
  <si>
    <t xml:space="preserve">Fonction-Objectif </t>
  </si>
  <si>
    <t xml:space="preserve">Profit=Revenue - Coût par Stades 
Profit=(Prix du billet d'un match selon le pays et le groupe*nombre de match d'un groupe par stades*Capacité de chaque stade)-Coût de chaque stade </t>
  </si>
  <si>
    <r>
      <t xml:space="preserve">MaxProfit=(pi+175)*(Xi1+Xi2…Xi11)*Cté(Std1+Std2…Std11)-Coût (Std1+Std2…Std11)
</t>
    </r>
    <r>
      <rPr>
        <b/>
        <sz val="11"/>
        <color rgb="FFFF0000"/>
        <rFont val="Calibri"/>
        <family val="2"/>
        <scheme val="minor"/>
      </rPr>
      <t>+</t>
    </r>
    <r>
      <rPr>
        <sz val="11"/>
        <color theme="1"/>
        <rFont val="Calibri"/>
        <family val="2"/>
        <scheme val="minor"/>
      </rPr>
      <t xml:space="preserve">(pi+135)*(Xi12+Xi13…Xi17)*Cté(Std12+Std13…Std17)-Coût (Std12+Std13…Std17)
</t>
    </r>
    <r>
      <rPr>
        <b/>
        <sz val="11"/>
        <color rgb="FFFF0000"/>
        <rFont val="Calibri"/>
        <family val="2"/>
        <scheme val="minor"/>
      </rPr>
      <t xml:space="preserve"> +</t>
    </r>
    <r>
      <rPr>
        <sz val="11"/>
        <color theme="1"/>
        <rFont val="Calibri"/>
        <family val="2"/>
        <scheme val="minor"/>
      </rPr>
      <t>(pi+140)*(Xi18+Xi19+Xi20)*Cté(Std18+Std19+Std20)-Coût (Std18+Std19+Std20)</t>
    </r>
  </si>
  <si>
    <t xml:space="preserve">Contraintes </t>
  </si>
  <si>
    <t xml:space="preserve">1: Nombre de match par groupe doit être égale à 6
2.1 et 2.2: Nombre de match par stades inférieure ou égal à 5 et supérieur ou égale à 1 
Contrainte 3: Nombre de match d'un même groupe par stades doit être inférieur ou égal à 2 
4. Contrainte des nombre entier sur les variables de décisions 
5. Contrainte de non-négativité 
6. La somme des matchs joués au total dans chaque pays doit être proportionel
au stades du pays en question </t>
  </si>
  <si>
    <r>
      <rPr>
        <b/>
        <u/>
        <sz val="11"/>
        <color theme="1"/>
        <rFont val="Calibri"/>
        <family val="2"/>
        <scheme val="minor"/>
      </rPr>
      <t>Contrainte 1</t>
    </r>
    <r>
      <rPr>
        <sz val="11"/>
        <color theme="1"/>
        <rFont val="Calibri"/>
        <family val="2"/>
        <scheme val="minor"/>
      </rPr>
      <t xml:space="preserve">
Xa1+Xa2+…Xa20=6
Xb1+Xb2+…Xb20=6
.
.
Xj1+Xj2+…Xj20=6
</t>
    </r>
    <r>
      <rPr>
        <b/>
        <u/>
        <sz val="11"/>
        <color theme="1"/>
        <rFont val="Calibri"/>
        <family val="2"/>
        <scheme val="minor"/>
      </rPr>
      <t>Contrainte 2.1 et 2.2</t>
    </r>
    <r>
      <rPr>
        <sz val="11"/>
        <color theme="1"/>
        <rFont val="Calibri"/>
        <family val="2"/>
        <scheme val="minor"/>
      </rPr>
      <t xml:space="preserve">
1&lt;=Xa1+Xb1+…Xj1&lt;=5
1&lt;=Xa2+Xb2+…Xj2&lt;=5
.
.
1&lt;=Xa20+Xb20+…Xj20&lt;=5
</t>
    </r>
    <r>
      <rPr>
        <b/>
        <u/>
        <sz val="11"/>
        <color theme="1"/>
        <rFont val="Calibri"/>
        <family val="2"/>
        <scheme val="minor"/>
      </rPr>
      <t xml:space="preserve">Contrainte 3 </t>
    </r>
    <r>
      <rPr>
        <sz val="11"/>
        <color theme="1"/>
        <rFont val="Calibri"/>
        <family val="2"/>
        <scheme val="minor"/>
      </rPr>
      <t xml:space="preserve">
Xij&lt;=2</t>
    </r>
  </si>
  <si>
    <t xml:space="preserve">Espagne </t>
  </si>
  <si>
    <t>Stades</t>
  </si>
  <si>
    <t xml:space="preserve">Capacité </t>
  </si>
  <si>
    <t>%</t>
  </si>
  <si>
    <t>Total</t>
  </si>
  <si>
    <t xml:space="preserve">Coûts </t>
  </si>
  <si>
    <t xml:space="preserve">Profit d'un match par stades </t>
  </si>
  <si>
    <t>Groupes</t>
  </si>
  <si>
    <t xml:space="preserve">Stades </t>
  </si>
  <si>
    <t xml:space="preserve">Groupe </t>
  </si>
  <si>
    <t>Nombre de matchs total en Espagne</t>
  </si>
  <si>
    <t xml:space="preserve">&gt;= </t>
  </si>
  <si>
    <t xml:space="preserve">&lt;= </t>
  </si>
  <si>
    <t>Proportion des matchs joués en Espagne</t>
  </si>
  <si>
    <t>=</t>
  </si>
  <si>
    <t>Nombre de matchs total au Maroc</t>
  </si>
  <si>
    <t>Proportion des matchs joués au Maroc</t>
  </si>
  <si>
    <t>Nombre de matchs total au Portugal</t>
  </si>
  <si>
    <t>Proportion des matchs joués au Portugal</t>
  </si>
  <si>
    <t>Taxes</t>
  </si>
  <si>
    <t>Nombre de matchs total en Esp &amp; Por</t>
  </si>
  <si>
    <t>Revenue</t>
  </si>
  <si>
    <t xml:space="preserve">Profit </t>
  </si>
  <si>
    <t>Statut</t>
  </si>
  <si>
    <t>Résumé</t>
  </si>
  <si>
    <t>Erase liste</t>
  </si>
  <si>
    <t>Étudiant</t>
  </si>
  <si>
    <t>Beaudry, Laurent</t>
  </si>
  <si>
    <t>AG41</t>
  </si>
  <si>
    <t>Nb ici</t>
  </si>
  <si>
    <t>Benderdouche, Elias</t>
  </si>
  <si>
    <t>Bennadji, Anis</t>
  </si>
  <si>
    <t>Blackburn, Mathieu</t>
  </si>
  <si>
    <t>Bureau, Mathieu</t>
  </si>
  <si>
    <t>Chahby, Salma</t>
  </si>
  <si>
    <t>Ciarlo, Loris</t>
  </si>
  <si>
    <t>Delage, Laurette</t>
  </si>
  <si>
    <t>Devescovi, Mathias</t>
  </si>
  <si>
    <t>Doussot, Salomé</t>
  </si>
  <si>
    <t>Durand, Sabrina</t>
  </si>
  <si>
    <t>Fagot, Timothey</t>
  </si>
  <si>
    <t>Forcier, Justin</t>
  </si>
  <si>
    <t>Fortin, Thomas</t>
  </si>
  <si>
    <t>Gagnon, Florence</t>
  </si>
  <si>
    <t>Goyault Gounouf, Jules</t>
  </si>
  <si>
    <t>Groulx, Vincent</t>
  </si>
  <si>
    <t>Guerni, Sabrina</t>
  </si>
  <si>
    <t>Guimond, Samuel</t>
  </si>
  <si>
    <t>Julé, Baptiste</t>
  </si>
  <si>
    <t>Karim, Capucine</t>
  </si>
  <si>
    <t>Langlois, Emilie</t>
  </si>
  <si>
    <t>Laurent, Thomas</t>
  </si>
  <si>
    <t>Lavoie, Vincent</t>
  </si>
  <si>
    <t>Le, Nhat Long</t>
  </si>
  <si>
    <t>Lévesque, Samuel</t>
  </si>
  <si>
    <t>Malo, Frédéric</t>
  </si>
  <si>
    <t>Masse, Albert</t>
  </si>
  <si>
    <t>McKenzie, Tye</t>
  </si>
  <si>
    <t>Mercier, Anaëlle</t>
  </si>
  <si>
    <t>Morsly-Bédard, Léola</t>
  </si>
  <si>
    <t>Negrut, Raresh</t>
  </si>
  <si>
    <t>Nguyen, Gabriel</t>
  </si>
  <si>
    <t>O'Brien, Laura</t>
  </si>
  <si>
    <t>Ouellet-Lupien, Catherine</t>
  </si>
  <si>
    <t>Petit, Lucas</t>
  </si>
  <si>
    <t>Pilicheva, Stefaniya</t>
  </si>
  <si>
    <t>Polanco de la Rosa, Johanna Camila</t>
  </si>
  <si>
    <t>Rahali, Salma</t>
  </si>
  <si>
    <t>Raîche, Andréanne</t>
  </si>
  <si>
    <t>Sévigny, Jérémy</t>
  </si>
  <si>
    <t>St-Pierre, Thierry</t>
  </si>
  <si>
    <t>Talkenov, Askar</t>
  </si>
  <si>
    <t>Terreault, Daniela Abigail</t>
  </si>
  <si>
    <t>Tian, Simon</t>
  </si>
  <si>
    <t>Toupin, Louis-Félix</t>
  </si>
  <si>
    <t>Tremblay, Tanya</t>
  </si>
  <si>
    <t>Turcotte, Sarah-Maude</t>
  </si>
  <si>
    <t>Afane Eko, Franck Menelik</t>
  </si>
  <si>
    <t>AG42</t>
  </si>
  <si>
    <t>Ahboucha, Hibat Arrahman</t>
  </si>
  <si>
    <t>Alkassab, Miriam</t>
  </si>
  <si>
    <t>Allaire, Thierry</t>
  </si>
  <si>
    <t>Beaulieu, Elizabeth P.</t>
  </si>
  <si>
    <t>Beddek, Nazim</t>
  </si>
  <si>
    <t>Bélanger, Frédéric</t>
  </si>
  <si>
    <t>Ben Gharbia, Rami</t>
  </si>
  <si>
    <t>Breton, Olivier</t>
  </si>
  <si>
    <t>Cassier, Victor</t>
  </si>
  <si>
    <t>Champagne, Audréane</t>
  </si>
  <si>
    <t>Chanal, Anna Adriana Marie</t>
  </si>
  <si>
    <t>Chifa, Daniel</t>
  </si>
  <si>
    <t>Cintaret, Elodie</t>
  </si>
  <si>
    <t>Costa, Carl</t>
  </si>
  <si>
    <t>Cousineau, Camille</t>
  </si>
  <si>
    <t>Delgado, Francisco</t>
  </si>
  <si>
    <t>Devoet, Noé</t>
  </si>
  <si>
    <t>Djouaher, Yuva</t>
  </si>
  <si>
    <t>Durand, Emma</t>
  </si>
  <si>
    <t>El Qodssi, Salma</t>
  </si>
  <si>
    <t>Gonthier, Justine</t>
  </si>
  <si>
    <t>Guo, Nicole</t>
  </si>
  <si>
    <t>Hamdi, Rayen</t>
  </si>
  <si>
    <t>Henrichs, Thomas</t>
  </si>
  <si>
    <t>Jiang, Jia Xing</t>
  </si>
  <si>
    <t>Kaddouri, Malia Rania</t>
  </si>
  <si>
    <t>Kazan, Michele</t>
  </si>
  <si>
    <t>Kermelly, Mégane</t>
  </si>
  <si>
    <t>Lebrat, Angel-Rose</t>
  </si>
  <si>
    <t>Libert, Noé</t>
  </si>
  <si>
    <t>Marier, Émilie</t>
  </si>
  <si>
    <t>Mastropasqua, Matteo</t>
  </si>
  <si>
    <t>Mauté, Maxence</t>
  </si>
  <si>
    <t>Meziani, Ines</t>
  </si>
  <si>
    <t>Minard, Melvyn</t>
  </si>
  <si>
    <t>Pineiro Côté, Miguel</t>
  </si>
  <si>
    <t>Piquet, Maheata</t>
  </si>
  <si>
    <t>Querton, Alexis</t>
  </si>
  <si>
    <t>Racine, Charlotte</t>
  </si>
  <si>
    <t>Rioux, Éliane</t>
  </si>
  <si>
    <t>Romani, Isabella</t>
  </si>
  <si>
    <t>Rosolen, Arnaud</t>
  </si>
  <si>
    <t>Saini, Mankirat Singh</t>
  </si>
  <si>
    <t>Servais, Jacob</t>
  </si>
  <si>
    <t>Sola Setaro Pineyro, Dryan</t>
  </si>
  <si>
    <t>Tchuente Kamdom, Samia Christel</t>
  </si>
  <si>
    <t>Tremblay, David William</t>
  </si>
  <si>
    <t>Tremblay, Émile</t>
  </si>
  <si>
    <t>Tremblay, Rosalie</t>
  </si>
  <si>
    <t>Vanacker, Béatrice</t>
  </si>
  <si>
    <t>Villemer, Eloi</t>
  </si>
  <si>
    <t>Vinet, Sophie</t>
  </si>
  <si>
    <t>Wei, Alain</t>
  </si>
  <si>
    <t>Zaafouri, Younes</t>
  </si>
  <si>
    <t>Zhao, Winnie</t>
  </si>
  <si>
    <t>Alarie, Philippe-Alexandre</t>
  </si>
  <si>
    <t>B40</t>
  </si>
  <si>
    <t>Albert, Benjamin</t>
  </si>
  <si>
    <t>Ancinon, Robin</t>
  </si>
  <si>
    <t>Anselme-Moizan, Laura</t>
  </si>
  <si>
    <t>Ballesteros, Loïc</t>
  </si>
  <si>
    <t>Battani-Samborski, Sacha</t>
  </si>
  <si>
    <t>Bélanger, Laurence</t>
  </si>
  <si>
    <t>Bonnet, Baptiste</t>
  </si>
  <si>
    <t>Boukar Allachi, Halima Sada</t>
  </si>
  <si>
    <t>Bujold, Eloïse</t>
  </si>
  <si>
    <t>Caciula, Alessandru</t>
  </si>
  <si>
    <t>Charette, Justin</t>
  </si>
  <si>
    <t>Collin, Antoine</t>
  </si>
  <si>
    <t>Decouze, Anapa</t>
  </si>
  <si>
    <t>Dionne, Julia</t>
  </si>
  <si>
    <t>Dubaillay, Eliott</t>
  </si>
  <si>
    <t>Eddaoudi, Yasmin</t>
  </si>
  <si>
    <t>Elfassy, Ezechiel</t>
  </si>
  <si>
    <t>Elsarraf, Malika Mohamed</t>
  </si>
  <si>
    <t>Enderle, Philippe</t>
  </si>
  <si>
    <t>Gagné, Alexia</t>
  </si>
  <si>
    <t>Giroux, Elodie</t>
  </si>
  <si>
    <t>Godbout, Charles</t>
  </si>
  <si>
    <t>Gouait, Paris</t>
  </si>
  <si>
    <t>Gourley, Lauryanne</t>
  </si>
  <si>
    <t>Guay, Charles-Antoine</t>
  </si>
  <si>
    <t>Harnois, Élie</t>
  </si>
  <si>
    <t>Harouna Ibrahim, Ismaël</t>
  </si>
  <si>
    <t>Jacques, Louis-Philippe</t>
  </si>
  <si>
    <t>Jean, Hadassa Melizah</t>
  </si>
  <si>
    <t>Kintgen, Lilou</t>
  </si>
  <si>
    <t>Kojok, Anass</t>
  </si>
  <si>
    <t>Lahlou, Othman</t>
  </si>
  <si>
    <t>Lapointe, Charles</t>
  </si>
  <si>
    <t>Leduc, Laurence</t>
  </si>
  <si>
    <t>Lefebvre, Léo</t>
  </si>
  <si>
    <t>Léger, Lucas</t>
  </si>
  <si>
    <t>Lemieux-Côté, Patrick</t>
  </si>
  <si>
    <t>Leroux, Victor</t>
  </si>
  <si>
    <t>L'Heureux, Zackary</t>
  </si>
  <si>
    <t>Lussier, Samuel</t>
  </si>
  <si>
    <t>Maissant, Clara</t>
  </si>
  <si>
    <t>Mangiatordi, Alice</t>
  </si>
  <si>
    <t>Marchal, Chloé</t>
  </si>
  <si>
    <t>Mottier, Emilie</t>
  </si>
  <si>
    <t>Pacheco, Dario</t>
  </si>
  <si>
    <t>Patry, Rachel</t>
  </si>
  <si>
    <t>Payette, Camille</t>
  </si>
  <si>
    <t>Pelletier, Myriame</t>
  </si>
  <si>
    <t>Pintilei, Vlad Stefan</t>
  </si>
  <si>
    <t>Pouliot, Xavier</t>
  </si>
  <si>
    <t>Roberge, Paul-Émile</t>
  </si>
  <si>
    <t>Roy, Gustav</t>
  </si>
  <si>
    <t>Savoie, Victor</t>
  </si>
  <si>
    <t>Schinck, Marika</t>
  </si>
  <si>
    <t>Sekkal, Lamia</t>
  </si>
  <si>
    <t>Sivaslian, Alan</t>
  </si>
  <si>
    <t>Sklokin, Alexander</t>
  </si>
  <si>
    <t>Sorek, Emmanuel</t>
  </si>
  <si>
    <t>St-Amour, Emmanuelle</t>
  </si>
  <si>
    <t>St-Jean, Cloé</t>
  </si>
  <si>
    <t>Tremblay, Jérémy</t>
  </si>
  <si>
    <t>Vaillancourt, Raphaël</t>
  </si>
  <si>
    <t>Vayaboury, Chloé Ruby Marie</t>
  </si>
  <si>
    <t>Achkar, Matthew</t>
  </si>
  <si>
    <t>B41</t>
  </si>
  <si>
    <t>Ait Siselmi, Sarah</t>
  </si>
  <si>
    <t>Ali-Chebli, Liane</t>
  </si>
  <si>
    <t>Anderson, Brendan</t>
  </si>
  <si>
    <t>Antone, Mark</t>
  </si>
  <si>
    <t>Auger, Thomas</t>
  </si>
  <si>
    <t>Azizi, Atah</t>
  </si>
  <si>
    <t>Belfounes, Hiba</t>
  </si>
  <si>
    <t>Bengougam, Sarah</t>
  </si>
  <si>
    <t>Benhacine, Fatene</t>
  </si>
  <si>
    <t>Benselama, Yuva-Adel</t>
  </si>
  <si>
    <t>Bossanne, Audrey</t>
  </si>
  <si>
    <t>Boudreau, Thomas</t>
  </si>
  <si>
    <t>Calixte, Leinz</t>
  </si>
  <si>
    <t>Chan, Mégane</t>
  </si>
  <si>
    <t>Charlebois, Alexis</t>
  </si>
  <si>
    <t>Chemali, Matteo</t>
  </si>
  <si>
    <t>Côté, Alexis</t>
  </si>
  <si>
    <t>D'Angelo, Alexandra</t>
  </si>
  <si>
    <t>Danton, Peter Sacha</t>
  </si>
  <si>
    <t>Demers, Clara</t>
  </si>
  <si>
    <t>Derome, Mélodie</t>
  </si>
  <si>
    <t>Dupuis, Victoria</t>
  </si>
  <si>
    <t>Ed-Dari, Fatima Azzahra</t>
  </si>
  <si>
    <t>Esmaeili, Ailin</t>
  </si>
  <si>
    <t>Fonteneau-Moreau, Clotilde</t>
  </si>
  <si>
    <t>Foucault, Alexis</t>
  </si>
  <si>
    <t>Frasheri, Yoana</t>
  </si>
  <si>
    <t>Galibois-Bouchard, Florence</t>
  </si>
  <si>
    <t>Gignac, Adélaïde</t>
  </si>
  <si>
    <t>Gourram, Amine</t>
  </si>
  <si>
    <t>Hassane, Yassine</t>
  </si>
  <si>
    <t>Hy Outin, Juliette</t>
  </si>
  <si>
    <t>Kayayan, Hrag</t>
  </si>
  <si>
    <t>Labiede, Yasmine</t>
  </si>
  <si>
    <t>Labrecque, Samuel</t>
  </si>
  <si>
    <t>Lamontagne, Émilie</t>
  </si>
  <si>
    <t>Lau, Justine</t>
  </si>
  <si>
    <t>Legault, Juliette</t>
  </si>
  <si>
    <t>Lemieux, Juliette</t>
  </si>
  <si>
    <t>Li, Alicia</t>
  </si>
  <si>
    <t>Longpré, Sarah</t>
  </si>
  <si>
    <t>Mansour, Daniel</t>
  </si>
  <si>
    <t>Merzoug, Axel</t>
  </si>
  <si>
    <t>Mesny, Arthur</t>
  </si>
  <si>
    <t>Morin, Mélissa</t>
  </si>
  <si>
    <t>Moussa, Hana</t>
  </si>
  <si>
    <t>Nadeau, Eva-Gabriella</t>
  </si>
  <si>
    <t>Nguyen, Maïka</t>
  </si>
  <si>
    <t>Ntikajahato, Matteo</t>
  </si>
  <si>
    <t>Paillot, Benoît</t>
  </si>
  <si>
    <t>Poujol-sourina, Aurélien</t>
  </si>
  <si>
    <t>Poulin, Nathan</t>
  </si>
  <si>
    <t>Ramos, Charlotte</t>
  </si>
  <si>
    <t>Sahouré, Tiphaine</t>
  </si>
  <si>
    <t>Sarrazin, Félix Antoine</t>
  </si>
  <si>
    <t>Sawka, Amélie</t>
  </si>
  <si>
    <t>Slim, Remzy</t>
  </si>
  <si>
    <t>Soller, Alix</t>
  </si>
  <si>
    <t>Stallone, Raphaël</t>
  </si>
  <si>
    <t>Tiche Ndanda, Vanel Stela</t>
  </si>
  <si>
    <t>Tousignant, Estelle</t>
  </si>
  <si>
    <t>Veilleux, Gabrielle</t>
  </si>
  <si>
    <t>Verreault, Benjamin</t>
  </si>
  <si>
    <t>Zeineddine, Ishac</t>
  </si>
  <si>
    <t>Zerroug, Safa</t>
  </si>
  <si>
    <t>Zinati, Diala</t>
  </si>
  <si>
    <t>Amadou Maissadje, Mehdi</t>
  </si>
  <si>
    <t>B42</t>
  </si>
  <si>
    <t>Araya-Yohannes, Ab</t>
  </si>
  <si>
    <t>Aslo, Jack</t>
  </si>
  <si>
    <t>Barsoum, Mathieu</t>
  </si>
  <si>
    <t>Benoît, Émile</t>
  </si>
  <si>
    <t>Boivin, Justine</t>
  </si>
  <si>
    <t>Bonardelli, Tasha Kristine</t>
  </si>
  <si>
    <t>Bouslama, Rose</t>
  </si>
  <si>
    <t>Bray, Emma-Rose</t>
  </si>
  <si>
    <t>Brun, Carla</t>
  </si>
  <si>
    <t>Carbonneau, Raphaëlle</t>
  </si>
  <si>
    <t>Cheftel, Anthelme</t>
  </si>
  <si>
    <t>Côté, Rosalie</t>
  </si>
  <si>
    <t>Dassarecos, Nikolas</t>
  </si>
  <si>
    <t>Delgado Chaves, Emily</t>
  </si>
  <si>
    <t>Emond, Elliott</t>
  </si>
  <si>
    <t>Esta, Marc</t>
  </si>
  <si>
    <t>Ethier, Marguerite</t>
  </si>
  <si>
    <t>Filali Mouatassem, Maha</t>
  </si>
  <si>
    <t>Ghosh, Sacha</t>
  </si>
  <si>
    <t>Gimbre, Romain</t>
  </si>
  <si>
    <t>Guay, Benoit</t>
  </si>
  <si>
    <t>Guay, Pierre-Alexandre</t>
  </si>
  <si>
    <t>Guerrier, Clara Jenn</t>
  </si>
  <si>
    <t>Hébert, Thierry</t>
  </si>
  <si>
    <t>Houle, Alissa</t>
  </si>
  <si>
    <t>Ibrahim Djibo, Rayana</t>
  </si>
  <si>
    <t>Jasmin, Amélie-Laura</t>
  </si>
  <si>
    <t>Korobkin, Iaroslav</t>
  </si>
  <si>
    <t>Kostrovets, Alona</t>
  </si>
  <si>
    <t>Kristo, Kevin</t>
  </si>
  <si>
    <t>Lassonde, Héloïse</t>
  </si>
  <si>
    <t>Lebeau, Maxime</t>
  </si>
  <si>
    <t>Lefebvre, Mallorie</t>
  </si>
  <si>
    <t>Lefebvre, Thomas</t>
  </si>
  <si>
    <t>Lorans, Alban</t>
  </si>
  <si>
    <t>Massicotte, Améliane</t>
  </si>
  <si>
    <t>Massonnat, Abel</t>
  </si>
  <si>
    <t>Mendo, Jade</t>
  </si>
  <si>
    <t>Monque, Aranza Lorena</t>
  </si>
  <si>
    <t>Moussa, Mélina</t>
  </si>
  <si>
    <t>Mousseau, Elizabeth</t>
  </si>
  <si>
    <t>Ndayizeye, Grace-Divine</t>
  </si>
  <si>
    <t>Ohayon, Nathan</t>
  </si>
  <si>
    <t>Pelissou, Jade</t>
  </si>
  <si>
    <t>Pourcher, Simon</t>
  </si>
  <si>
    <t>Ramaroson, Kaloy</t>
  </si>
  <si>
    <t>Robitaille, Justin</t>
  </si>
  <si>
    <t>Roy, Vincent</t>
  </si>
  <si>
    <t>Said, Fady</t>
  </si>
  <si>
    <t>Salem, Lea</t>
  </si>
  <si>
    <t>Saulnier, Jasmine Amina</t>
  </si>
  <si>
    <t>Schindler-Bêty, Antoine</t>
  </si>
  <si>
    <t>Sinclair, Zoé</t>
  </si>
  <si>
    <t>Soumazane, Mohammed Amine</t>
  </si>
  <si>
    <t>Su, Sabrina</t>
  </si>
  <si>
    <t>Tsanova, Violeta Evgenieva</t>
  </si>
  <si>
    <t>Untiet, Noé</t>
  </si>
  <si>
    <t>Walid, Fadwa</t>
  </si>
  <si>
    <t>Abouamr, Hiba</t>
  </si>
  <si>
    <t>B43</t>
  </si>
  <si>
    <t>Alaoui Elazhar, Manale</t>
  </si>
  <si>
    <t>Ambroise, Mathania</t>
  </si>
  <si>
    <t>Archane, Malak</t>
  </si>
  <si>
    <t>Belance-Saintelmy, Joaquim</t>
  </si>
  <si>
    <t>Bélanger, Benjamin</t>
  </si>
  <si>
    <t>Bellefleur, Thomas</t>
  </si>
  <si>
    <t>Benabdeljalil, Ghali</t>
  </si>
  <si>
    <t>Bessette, Raphaël</t>
  </si>
  <si>
    <t>Bleu Di Fiore, Oscar</t>
  </si>
  <si>
    <t>Bouaoun, Sofiane</t>
  </si>
  <si>
    <t>Bouhours, Charlie-Lou</t>
  </si>
  <si>
    <t>Boukhalfa, Rheya Maria</t>
  </si>
  <si>
    <t>Cavallaro, Leonardo</t>
  </si>
  <si>
    <t>Champlong, Maxence</t>
  </si>
  <si>
    <t>Côté, Philippe</t>
  </si>
  <si>
    <t>Cuevas-Bélisle, Xavier</t>
  </si>
  <si>
    <t>Darveau, Raphaële</t>
  </si>
  <si>
    <t>Davaine, Faustine</t>
  </si>
  <si>
    <t>Denis, Olivier</t>
  </si>
  <si>
    <t>Désilets, Simon</t>
  </si>
  <si>
    <t>Djebari, Rayan</t>
  </si>
  <si>
    <t>Dorleans, Max Elliott</t>
  </si>
  <si>
    <t>Draioui, Salma</t>
  </si>
  <si>
    <t>Dubois, Lara</t>
  </si>
  <si>
    <t>El Khoury, Celine</t>
  </si>
  <si>
    <t>Ferrieux, Ella</t>
  </si>
  <si>
    <t>Fortin, Cassandre</t>
  </si>
  <si>
    <t>Fourmond, Emilie</t>
  </si>
  <si>
    <t>Gagnon, Xavier</t>
  </si>
  <si>
    <t>Gardiner, Sarah</t>
  </si>
  <si>
    <t>Garneau, Thomas</t>
  </si>
  <si>
    <t>Giguère, Alexandra</t>
  </si>
  <si>
    <t>Gouda, Rime</t>
  </si>
  <si>
    <t>Guilbault, Samuel</t>
  </si>
  <si>
    <t>Hadjadj, Manil</t>
  </si>
  <si>
    <t>Hébrais, Samuel</t>
  </si>
  <si>
    <t>Kenmogne, Roxanne</t>
  </si>
  <si>
    <t>Le, Van Dao</t>
  </si>
  <si>
    <t>Lenti, Matteo Leandro</t>
  </si>
  <si>
    <t>Loranger, Christophe</t>
  </si>
  <si>
    <t>Lormeus, Cynthia</t>
  </si>
  <si>
    <t>Magnan, Jacob</t>
  </si>
  <si>
    <t>Malevski, Kristian Plamenov</t>
  </si>
  <si>
    <t>Mejia-Bonilla, Bruno</t>
  </si>
  <si>
    <t>Mendez Flores, Sabryna</t>
  </si>
  <si>
    <t>Messabih, Nora</t>
  </si>
  <si>
    <t>Nguyen, Annie</t>
  </si>
  <si>
    <t>Painchaud, Sébastien</t>
  </si>
  <si>
    <t>Patry, Simon</t>
  </si>
  <si>
    <t>Pérignon, Romane</t>
  </si>
  <si>
    <t>Picard, Nicolas</t>
  </si>
  <si>
    <t>Poirier, Elyse</t>
  </si>
  <si>
    <t>Primard, Marie</t>
  </si>
  <si>
    <t>Provost, Samuel</t>
  </si>
  <si>
    <t>Roy, William</t>
  </si>
  <si>
    <t>Séguin, Anaëlle</t>
  </si>
  <si>
    <t>Sharma, Jia</t>
  </si>
  <si>
    <t>Sionneau, Boris</t>
  </si>
  <si>
    <t>Sounan, Charles-Evry</t>
  </si>
  <si>
    <t>Stainton, Solène</t>
  </si>
  <si>
    <t>Tocu, Crina Maria</t>
  </si>
  <si>
    <t>Woillez, Mathilde</t>
  </si>
  <si>
    <t>Assaf, Milena</t>
  </si>
  <si>
    <t>B44</t>
  </si>
  <si>
    <t>Asselin, Samuel</t>
  </si>
  <si>
    <t>Bareges, Maxine</t>
  </si>
  <si>
    <t>Batori, Teodor</t>
  </si>
  <si>
    <t>Bélair, Guillaume</t>
  </si>
  <si>
    <t>Bezetoute, Inès</t>
  </si>
  <si>
    <t>Blanchard, Simon</t>
  </si>
  <si>
    <t>Bourdages, Maël</t>
  </si>
  <si>
    <t>Bourgouin, Shawn</t>
  </si>
  <si>
    <t>Boutet, Anne</t>
  </si>
  <si>
    <t>Bracciale, Mélina</t>
  </si>
  <si>
    <t>Brault, Emilie</t>
  </si>
  <si>
    <t>Chang, Tevainui</t>
  </si>
  <si>
    <t>Chang-Hing-Wing, Chloé</t>
  </si>
  <si>
    <t>Côté, Marc-Antoine</t>
  </si>
  <si>
    <t>Couillard-Després, Annabel</t>
  </si>
  <si>
    <t>Demarbre, Clara</t>
  </si>
  <si>
    <t>Desmarais-Couture, Alexandra</t>
  </si>
  <si>
    <t>Doffou, Koffi Aude Emmanuella</t>
  </si>
  <si>
    <t>Dufresne, Maya</t>
  </si>
  <si>
    <t>Duguay, Félix</t>
  </si>
  <si>
    <t>El Kabir, Wissal</t>
  </si>
  <si>
    <t>Ezzeddin, Habib</t>
  </si>
  <si>
    <t>Fares, Majed</t>
  </si>
  <si>
    <t>Finianos, Joseph</t>
  </si>
  <si>
    <t>Fossou, Noah Ethien</t>
  </si>
  <si>
    <t>Gariépy, Mikaelle</t>
  </si>
  <si>
    <t>Gosselin, Mathilde</t>
  </si>
  <si>
    <t>Hamidi, Imane</t>
  </si>
  <si>
    <t>Houle, Frédérik</t>
  </si>
  <si>
    <t>Hulubas-Barnia, Andrei</t>
  </si>
  <si>
    <t>Jobin, Charlotte</t>
  </si>
  <si>
    <t>Koko, Mégane</t>
  </si>
  <si>
    <t>Lachance, Justin</t>
  </si>
  <si>
    <t>Lê, Ombline Anh Héloïse</t>
  </si>
  <si>
    <t>Leblanc, Victoria</t>
  </si>
  <si>
    <t>Lecavalier, Marc-Olivier</t>
  </si>
  <si>
    <t>Ledoux, Charles</t>
  </si>
  <si>
    <t>Ledoux-Robert, Jérémi</t>
  </si>
  <si>
    <t>Lessard, Anaïs</t>
  </si>
  <si>
    <t>Marchand-Barreras, Julia</t>
  </si>
  <si>
    <t>Minneci Parisi, Alban</t>
  </si>
  <si>
    <t>Mokeke Diakanua, Amanda</t>
  </si>
  <si>
    <t>Moncada, Amelia</t>
  </si>
  <si>
    <t>Nadeau-Chalut, Opale</t>
  </si>
  <si>
    <t>Papiernik, Shayan</t>
  </si>
  <si>
    <t>Payette, Étienne</t>
  </si>
  <si>
    <t>Perrin, Lilou</t>
  </si>
  <si>
    <t>Pilon, Philippe</t>
  </si>
  <si>
    <t>Quartier, Maÿlis</t>
  </si>
  <si>
    <t>Rihane, Karim Mikael</t>
  </si>
  <si>
    <t>Rondeau, Nicolas</t>
  </si>
  <si>
    <t>Sabourin, Philippe</t>
  </si>
  <si>
    <t>Schöck, Lina</t>
  </si>
  <si>
    <t>Shako, Mutingwa Shontelle</t>
  </si>
  <si>
    <t>Sibly, Noreen</t>
  </si>
  <si>
    <t>Staples, William</t>
  </si>
  <si>
    <t>Vacheron, Cyrus</t>
  </si>
  <si>
    <t>Vidal, Guillaume</t>
  </si>
  <si>
    <t>Xu, Oliver</t>
  </si>
  <si>
    <t>Yahiaoui, Imane</t>
  </si>
  <si>
    <t>Zaki, Adam</t>
  </si>
  <si>
    <t>Abong, Anne-Sophie</t>
  </si>
  <si>
    <t>B45</t>
  </si>
  <si>
    <t>Abou-Assaly, Linda</t>
  </si>
  <si>
    <t>Akras, Anthony James</t>
  </si>
  <si>
    <t>Albouy, Juliette</t>
  </si>
  <si>
    <t>Baroudi, Karim</t>
  </si>
  <si>
    <t>Beauchamp, Paul</t>
  </si>
  <si>
    <t>Benameur, Ilies</t>
  </si>
  <si>
    <t>Benhachem, Abdesslam</t>
  </si>
  <si>
    <t>Bilodeau, Camille</t>
  </si>
  <si>
    <t>Boisvert, Luka</t>
  </si>
  <si>
    <t>Bolduc, Maxime</t>
  </si>
  <si>
    <t>Bouanane, Ismail</t>
  </si>
  <si>
    <t>Boucher, Samuel</t>
  </si>
  <si>
    <t>Canno, Nattan</t>
  </si>
  <si>
    <t>Carrillo, Victoria</t>
  </si>
  <si>
    <t>Clément, Benjamin</t>
  </si>
  <si>
    <t>Collignon, Armel</t>
  </si>
  <si>
    <t>Delisle, Léa</t>
  </si>
  <si>
    <t>Dhap, Léa</t>
  </si>
  <si>
    <t>Djebbar, Sarah</t>
  </si>
  <si>
    <t>Dumas, Laurent</t>
  </si>
  <si>
    <t>El Kalaany, Imad</t>
  </si>
  <si>
    <t>Ferrier, Mattias</t>
  </si>
  <si>
    <t>Fortin, Jade</t>
  </si>
  <si>
    <t>Fournier, Aurélie</t>
  </si>
  <si>
    <t>Gabbassi, Aya</t>
  </si>
  <si>
    <t>Gendron, Gabriel</t>
  </si>
  <si>
    <t>Ghioldi, Clémence</t>
  </si>
  <si>
    <t>Giguère, Alice</t>
  </si>
  <si>
    <t>Hegins, Liam</t>
  </si>
  <si>
    <t>Henriquet, Lise</t>
  </si>
  <si>
    <t>Janowski, Laura</t>
  </si>
  <si>
    <t>Jaunbocus, Muhammad Suhail</t>
  </si>
  <si>
    <t>Joanis, Benjamin</t>
  </si>
  <si>
    <t>Kara, Lydia</t>
  </si>
  <si>
    <t>Khalil, Zoé-Maria</t>
  </si>
  <si>
    <t>Kossonou, Pierre-Emmanuel</t>
  </si>
  <si>
    <t>Kurdy, Michèle</t>
  </si>
  <si>
    <t>Lazrag, Mirane</t>
  </si>
  <si>
    <t>Leclair-Vani, Alyssa</t>
  </si>
  <si>
    <t>Léger, Alexandra</t>
  </si>
  <si>
    <t>Leunga Touangueu, Nils</t>
  </si>
  <si>
    <t>L'Heureux, Andréanne</t>
  </si>
  <si>
    <t>Lu, Shi Qi</t>
  </si>
  <si>
    <t>Malbrel, Garance</t>
  </si>
  <si>
    <t>Masson, Soléane</t>
  </si>
  <si>
    <t>Monnier, Pol</t>
  </si>
  <si>
    <t>Montaruli, Alex</t>
  </si>
  <si>
    <t>Moradi Zamani, Anita</t>
  </si>
  <si>
    <t>Morin-Innes, Aneska</t>
  </si>
  <si>
    <t>Ndita, Alexandre-Anthony</t>
  </si>
  <si>
    <t>Normandin, Maxime</t>
  </si>
  <si>
    <t>Ouedraogo, Wendyam</t>
  </si>
  <si>
    <t>Rivest-Ricard, Lucas</t>
  </si>
  <si>
    <t>Rousseau, Alexandre</t>
  </si>
  <si>
    <t>Schmidt, Jonathan</t>
  </si>
  <si>
    <t>Severyns, Gabriel</t>
  </si>
  <si>
    <t>Soucy, Charles-Olivier</t>
  </si>
  <si>
    <t>Talib, Hassan</t>
  </si>
  <si>
    <t>Tanguay, Pénélope</t>
  </si>
  <si>
    <t>Théorêt, Justin</t>
  </si>
  <si>
    <t>Tshiya Wamonakeba, Estha</t>
  </si>
  <si>
    <t>Turcotte, Henri</t>
  </si>
  <si>
    <t>Vale, Luiza</t>
  </si>
  <si>
    <t>Velev, Nicolas</t>
  </si>
  <si>
    <t>Zhong, Catherine-Yutong</t>
  </si>
  <si>
    <t>Bacha, Julia</t>
  </si>
  <si>
    <t>B46</t>
  </si>
  <si>
    <t>Béal, Alexandra</t>
  </si>
  <si>
    <t>Bitar, Gabrielle</t>
  </si>
  <si>
    <t>Bourdon, Mikaël</t>
  </si>
  <si>
    <t>Charron, Alexandre</t>
  </si>
  <si>
    <t>Chenail, Massimo</t>
  </si>
  <si>
    <t>Chénier Dagenais, Camille</t>
  </si>
  <si>
    <t>Cloutier, Olivier</t>
  </si>
  <si>
    <t>Corbeil, Jean-Félix</t>
  </si>
  <si>
    <t>Cornillaut, Gabin</t>
  </si>
  <si>
    <t>DeBlois, Julien</t>
  </si>
  <si>
    <t>Delacroix, Alexandre</t>
  </si>
  <si>
    <t>Dhillon, Pavan</t>
  </si>
  <si>
    <t>Di Re, Simona</t>
  </si>
  <si>
    <t>Ducharme, Jérémy</t>
  </si>
  <si>
    <t>El-Hage, Macy</t>
  </si>
  <si>
    <t>El Hayek, Teresa</t>
  </si>
  <si>
    <t>Figaro, Nicolas</t>
  </si>
  <si>
    <t>Fleury, Mathieu</t>
  </si>
  <si>
    <t>Gader, Mohamed</t>
  </si>
  <si>
    <t>Gagné, Mikael</t>
  </si>
  <si>
    <t>Gulamhussen, Istichane</t>
  </si>
  <si>
    <t>Hardy, Jade-Méliane</t>
  </si>
  <si>
    <t>Harry, Océane</t>
  </si>
  <si>
    <t>Hausser, Louis</t>
  </si>
  <si>
    <t>Houde, Édouard</t>
  </si>
  <si>
    <t>Idzdi, Farouk</t>
  </si>
  <si>
    <t>Konate, Souleymane</t>
  </si>
  <si>
    <t>Laroche, Mathis</t>
  </si>
  <si>
    <t>Lavoie, Gabriel</t>
  </si>
  <si>
    <t>Leduc, Marie-Kim</t>
  </si>
  <si>
    <t>Lefebvre, Francis</t>
  </si>
  <si>
    <t>Lembregts, Maxime</t>
  </si>
  <si>
    <t>Lemgendez, Aya</t>
  </si>
  <si>
    <t>Leung Chit Kwai, Clément</t>
  </si>
  <si>
    <t>Levasseur, Jasmine</t>
  </si>
  <si>
    <t>Levesque, Sabrina</t>
  </si>
  <si>
    <t>Lin, Laeticia</t>
  </si>
  <si>
    <t>Ludeau, Ivan</t>
  </si>
  <si>
    <t>Makaci, Lyna</t>
  </si>
  <si>
    <t>Marceau, Nathan</t>
  </si>
  <si>
    <t>McMahon, Charles</t>
  </si>
  <si>
    <t>Moncer, Maylis</t>
  </si>
  <si>
    <t>Ouama, Wassim</t>
  </si>
  <si>
    <t>Perrin, Laurely</t>
  </si>
  <si>
    <t>Pham Dac, Mai Linh</t>
  </si>
  <si>
    <t>Ricard, Nathanael Pierre</t>
  </si>
  <si>
    <t>Rusu, Maria Corina</t>
  </si>
  <si>
    <t>Saadi, Louiza</t>
  </si>
  <si>
    <t>Saied, Salim</t>
  </si>
  <si>
    <t>Simon, Noah</t>
  </si>
  <si>
    <t>Soussan, Naomi</t>
  </si>
  <si>
    <t>Surprenant-Gentile, Gabriele</t>
  </si>
  <si>
    <t>Tessier-Proulx, Mariève</t>
  </si>
  <si>
    <t>Thai, Vy Viviane</t>
  </si>
  <si>
    <t>Therel, Maxime</t>
  </si>
  <si>
    <t>Therrien, Aurélie</t>
  </si>
  <si>
    <t>Toulouse, Félix</t>
  </si>
  <si>
    <t>Tremblay, Charles-Antoine</t>
  </si>
  <si>
    <t>Tshipama, Nathan</t>
  </si>
  <si>
    <t>Turgeon, Juliette</t>
  </si>
  <si>
    <t>Uk, Evelyne</t>
  </si>
  <si>
    <t>Zghal, Selima</t>
  </si>
  <si>
    <t>Abi Oula, Serena</t>
  </si>
  <si>
    <t>B47</t>
  </si>
  <si>
    <t>Auger, Mathieu</t>
  </si>
  <si>
    <t>Barthe-Effosse, Titouan</t>
  </si>
  <si>
    <t>Belabed, Adam</t>
  </si>
  <si>
    <t>Bélanger, Anthony</t>
  </si>
  <si>
    <t>Belzil, Emma</t>
  </si>
  <si>
    <t>Berezina, Victoria</t>
  </si>
  <si>
    <t>Blais-Aidan, Enzo</t>
  </si>
  <si>
    <t>Blouin, Abygaelle</t>
  </si>
  <si>
    <t>Bourque, Cédrik</t>
  </si>
  <si>
    <t>Boutin, Bianca</t>
  </si>
  <si>
    <t>Champoux, Léon</t>
  </si>
  <si>
    <t>Charron, Leïla</t>
  </si>
  <si>
    <t>Chibani, Yasmine</t>
  </si>
  <si>
    <t>Cleret De Langavant, César</t>
  </si>
  <si>
    <t>De Corte, Camille</t>
  </si>
  <si>
    <t>De Luca, Olivia</t>
  </si>
  <si>
    <t>Deschamps, Hugo</t>
  </si>
  <si>
    <t>Diep, Sammi</t>
  </si>
  <si>
    <t>Dion, Tristan</t>
  </si>
  <si>
    <t>Do, Anthony Bao</t>
  </si>
  <si>
    <t>Drainville, Vincent</t>
  </si>
  <si>
    <t>Dubourg, Bérénice</t>
  </si>
  <si>
    <t>Gagnon, Rosalie</t>
  </si>
  <si>
    <t>Gao, Justin</t>
  </si>
  <si>
    <t>Gayrard, Lucas</t>
  </si>
  <si>
    <t>Ghabro, Albert</t>
  </si>
  <si>
    <t>Godin, Marie-Rose</t>
  </si>
  <si>
    <t>Hafit, Yacine</t>
  </si>
  <si>
    <t>Hardy, Mikaël</t>
  </si>
  <si>
    <t>Harrisson, Christopher</t>
  </si>
  <si>
    <t>Hou, Yue Xiang</t>
  </si>
  <si>
    <t>Jacques, Rémi</t>
  </si>
  <si>
    <t>Jaïdi, Abdelkrim</t>
  </si>
  <si>
    <t>Jean, Zachary</t>
  </si>
  <si>
    <t>Karfia, Omar</t>
  </si>
  <si>
    <t>Koropetc, Kseniia</t>
  </si>
  <si>
    <t>Kyriakakis, Emilia</t>
  </si>
  <si>
    <t>Lajoie-Paquette, Matys-Olivier</t>
  </si>
  <si>
    <t>Lapointe, Frédéric</t>
  </si>
  <si>
    <t>Lefebvre, Chloë</t>
  </si>
  <si>
    <t>Lopes, Lucas</t>
  </si>
  <si>
    <t>Mahjoub, Aziz</t>
  </si>
  <si>
    <t>Marcoux Lagueux, Laura</t>
  </si>
  <si>
    <t>Marleau, Justine</t>
  </si>
  <si>
    <t>Monnier, Eliott</t>
  </si>
  <si>
    <t>Nguyen, Raymond</t>
  </si>
  <si>
    <t>Nouaili, Ahmed</t>
  </si>
  <si>
    <t>Ofogh, Kevin</t>
  </si>
  <si>
    <t>Ouedraogo, Eréna Garance</t>
  </si>
  <si>
    <t>Richard, Thomas</t>
  </si>
  <si>
    <t>Robert, Olivier</t>
  </si>
  <si>
    <t>Routhier, Amélia</t>
  </si>
  <si>
    <t>Salem, Heloise</t>
  </si>
  <si>
    <t>Sarramon Martinez, Victor</t>
  </si>
  <si>
    <t>Ste-Marie, Agathe</t>
  </si>
  <si>
    <t>Tassé-Bonneau, Emmanuel</t>
  </si>
  <si>
    <t>Teguia, Hendrik Fotso</t>
  </si>
  <si>
    <t>Toure, Zainab Noura</t>
  </si>
  <si>
    <t>Trudel, Jérémie</t>
  </si>
  <si>
    <t>Trudel, Léa</t>
  </si>
  <si>
    <t>Vachon, Amélie</t>
  </si>
  <si>
    <t>Zizi, Kenza</t>
  </si>
  <si>
    <t>Abbana Bennani, Adam</t>
  </si>
  <si>
    <t>B48</t>
  </si>
  <si>
    <t>Alom, Amaury</t>
  </si>
  <si>
    <t>Andjemien, Samuel</t>
  </si>
  <si>
    <t>Awada, Ali</t>
  </si>
  <si>
    <t>Bardo, Laura</t>
  </si>
  <si>
    <t>Baumann, Etienne</t>
  </si>
  <si>
    <t>Bélanger, Samuel</t>
  </si>
  <si>
    <t>Bellefleur, Laurent</t>
  </si>
  <si>
    <t>Ben Amor, Leith</t>
  </si>
  <si>
    <t>Boisclair, Laurence</t>
  </si>
  <si>
    <t>Boubcher, Ilyasse</t>
  </si>
  <si>
    <t>Boucher, Marie</t>
  </si>
  <si>
    <t>Clermont-Gagnon, Léa</t>
  </si>
  <si>
    <t>Cloutier, Léa</t>
  </si>
  <si>
    <t>Côté, Hugo</t>
  </si>
  <si>
    <t>Cottrez, Florentin</t>
  </si>
  <si>
    <t>Diers, Nathan</t>
  </si>
  <si>
    <t>Farge, Renaud</t>
  </si>
  <si>
    <t>Fortin, Marie</t>
  </si>
  <si>
    <t>Gagnon-Rousseau, Louis</t>
  </si>
  <si>
    <t>Gardner, Imogen</t>
  </si>
  <si>
    <t>Girodet, Grégoire</t>
  </si>
  <si>
    <t>Haley, Allison</t>
  </si>
  <si>
    <t>Hjiji, Mohammed Reda</t>
  </si>
  <si>
    <t>Hoang, Kim</t>
  </si>
  <si>
    <t>Hussain, Mariam</t>
  </si>
  <si>
    <t>Jacques, Antoine</t>
  </si>
  <si>
    <t>Jauvin, Emma</t>
  </si>
  <si>
    <t>Kherraz, Lydia</t>
  </si>
  <si>
    <t>Kozah, Angie</t>
  </si>
  <si>
    <t>Laabi, Elkhansaa</t>
  </si>
  <si>
    <t>Lavigne, Laurence</t>
  </si>
  <si>
    <t>Létourneau, Rose</t>
  </si>
  <si>
    <t>Malaison, Julianne</t>
  </si>
  <si>
    <t>Marczak, Viktor</t>
  </si>
  <si>
    <t>Monzer, Joy</t>
  </si>
  <si>
    <t>Morin, Audrey</t>
  </si>
  <si>
    <t>Najem, Elias</t>
  </si>
  <si>
    <t>Natale, Sofia</t>
  </si>
  <si>
    <t>Nikolov, Daniel</t>
  </si>
  <si>
    <t>Ossman, Hassan</t>
  </si>
  <si>
    <t>Ould Slimane, Amine Mehdi</t>
  </si>
  <si>
    <t>Parenteau, Olivia</t>
  </si>
  <si>
    <t>Pinto Quintal, Amanda</t>
  </si>
  <si>
    <t>Roy, Antoine</t>
  </si>
  <si>
    <t>Sabourin, Antoine</t>
  </si>
  <si>
    <t>Sauvé Bourque, Catherine</t>
  </si>
  <si>
    <t>Siala, Lina</t>
  </si>
  <si>
    <t>Tétreault, Lycia</t>
  </si>
  <si>
    <t>Trempe, Sarah</t>
  </si>
  <si>
    <t>Valla, Baptiste</t>
  </si>
  <si>
    <t>Vigouroux, Hélios</t>
  </si>
  <si>
    <t>Wang, William</t>
  </si>
  <si>
    <t>Abbott, Félix</t>
  </si>
  <si>
    <t>B49</t>
  </si>
  <si>
    <t>Alibourki, Aya</t>
  </si>
  <si>
    <t>Andrianarison, Matoky</t>
  </si>
  <si>
    <t>Annon, Victor</t>
  </si>
  <si>
    <t>Avagyan, Mira</t>
  </si>
  <si>
    <t>Ba, Aïssata Boury</t>
  </si>
  <si>
    <t>Beauregard, Axelle</t>
  </si>
  <si>
    <t>Bélisle, Emma</t>
  </si>
  <si>
    <t>Benchekroun, Malak</t>
  </si>
  <si>
    <t>Biner, Daphné</t>
  </si>
  <si>
    <t>Blanchard, Jasmine</t>
  </si>
  <si>
    <t>Bollet, Diane</t>
  </si>
  <si>
    <t>Bonenfant, Loïc</t>
  </si>
  <si>
    <t>Bonnardot, Chloé</t>
  </si>
  <si>
    <t>Caza, Vincent</t>
  </si>
  <si>
    <t>Chiperi, Iulitta</t>
  </si>
  <si>
    <t>Cossette, Laurent</t>
  </si>
  <si>
    <t>Côté, Stéphanie</t>
  </si>
  <si>
    <t>Coutanceau, Virgile</t>
  </si>
  <si>
    <t>Depani, Amélie</t>
  </si>
  <si>
    <t>Diab, Laetitia</t>
  </si>
  <si>
    <t>Diallo, Mamady</t>
  </si>
  <si>
    <t>Doré, Paul</t>
  </si>
  <si>
    <t>Du, Jiaqi</t>
  </si>
  <si>
    <t>El Ouardi, Yasmine</t>
  </si>
  <si>
    <t>Filion, Tristan</t>
  </si>
  <si>
    <t>Gilbert, Emmanuel</t>
  </si>
  <si>
    <t>Godefroid, Alexis</t>
  </si>
  <si>
    <t>Ho-Lafleur, Matisse</t>
  </si>
  <si>
    <t>Hong, Alexis Valentin</t>
  </si>
  <si>
    <t>Karadoruk, Silan</t>
  </si>
  <si>
    <t>Labonne, Clara</t>
  </si>
  <si>
    <t>Latendresse, Emrick</t>
  </si>
  <si>
    <t>Lavallée, Olivier</t>
  </si>
  <si>
    <t>Lavigne, Vincent</t>
  </si>
  <si>
    <t>Lavoie, Jérémy</t>
  </si>
  <si>
    <t>Lavoie, Maya</t>
  </si>
  <si>
    <t>Lefebvre-Leduc, Félix</t>
  </si>
  <si>
    <t>Lehoux, Maéva</t>
  </si>
  <si>
    <t>Lemay, Samuel</t>
  </si>
  <si>
    <t>Lemieux, Élodie</t>
  </si>
  <si>
    <t>MacBeth, Anna</t>
  </si>
  <si>
    <t>Mac Donald, Édouard</t>
  </si>
  <si>
    <t>Mimeault, Lauriane</t>
  </si>
  <si>
    <t>Namouric, Léo</t>
  </si>
  <si>
    <t>Neugroschl, Elliot</t>
  </si>
  <si>
    <t>Nutovych, Sophia</t>
  </si>
  <si>
    <t>Passemard, Noemie</t>
  </si>
  <si>
    <t>Proulx, Enya</t>
  </si>
  <si>
    <t>Ruiz-Ortez, Michael</t>
  </si>
  <si>
    <t>Saadé, Léah</t>
  </si>
  <si>
    <t>Salois, Florence</t>
  </si>
  <si>
    <t>Sauvé, Charles-Antoine</t>
  </si>
  <si>
    <t>Savoie-Ménard, Adrien</t>
  </si>
  <si>
    <t>Sinane, Norah</t>
  </si>
  <si>
    <t>Torrelli, Lucas</t>
  </si>
  <si>
    <t>Vadeboncoeur, Sabrina</t>
  </si>
  <si>
    <t>Wang, Anson</t>
  </si>
  <si>
    <t>Yang, Jiyoung</t>
  </si>
  <si>
    <t>Zouaghi, Dina</t>
  </si>
  <si>
    <t>Alamé, Sally</t>
  </si>
  <si>
    <t>F01</t>
  </si>
  <si>
    <t>Allard, Evika</t>
  </si>
  <si>
    <t>Allard, Julien</t>
  </si>
  <si>
    <t>Archambault, Raphaëlle</t>
  </si>
  <si>
    <t>Attal, Mikhaël</t>
  </si>
  <si>
    <t>Audet, Sophie</t>
  </si>
  <si>
    <t>Belzy, Bryanna</t>
  </si>
  <si>
    <t>Benoit-Chénier, Léo</t>
  </si>
  <si>
    <t>Blais, Maxim</t>
  </si>
  <si>
    <t>Bourdon, Frédérique</t>
  </si>
  <si>
    <t>Carey, Laurent</t>
  </si>
  <si>
    <t>Chayer, Alexandre</t>
  </si>
  <si>
    <t>Choteau, Satine</t>
  </si>
  <si>
    <t>Cissé, Mody Jamil</t>
  </si>
  <si>
    <t>Coderre, Alexia</t>
  </si>
  <si>
    <t>Couture, Gabrielle</t>
  </si>
  <si>
    <t>Di Salvo, Édouard</t>
  </si>
  <si>
    <t>Dufour, Chloé</t>
  </si>
  <si>
    <t>Duquette-Lussier, Alexis</t>
  </si>
  <si>
    <t>Elbaz, Badr</t>
  </si>
  <si>
    <t>Elefante, Matéo</t>
  </si>
  <si>
    <t>Elmellouhi, Ramzi</t>
  </si>
  <si>
    <t>Essabiri, Yassine</t>
  </si>
  <si>
    <t>Farah, Karen</t>
  </si>
  <si>
    <t>Garant, Arielle</t>
  </si>
  <si>
    <t>Gaudreault, Jean-Christophe</t>
  </si>
  <si>
    <t>Giannetti, Lucas</t>
  </si>
  <si>
    <t>Gingras, Maribel</t>
  </si>
  <si>
    <t>Girard, Antony</t>
  </si>
  <si>
    <t>Ismail-Zada, Samin</t>
  </si>
  <si>
    <t>Kik, Jean-Sébastien</t>
  </si>
  <si>
    <t>Laberge, Charles</t>
  </si>
  <si>
    <t>Lafontaine Simard, Gabrielle</t>
  </si>
  <si>
    <t>Lang, Cassandra</t>
  </si>
  <si>
    <t>Langlois, Justin</t>
  </si>
  <si>
    <t>Lécuyer, Maéva</t>
  </si>
  <si>
    <t>Longpré, Charles-André</t>
  </si>
  <si>
    <t>Longpré, Laurence</t>
  </si>
  <si>
    <t>Lussambo, Goldïes</t>
  </si>
  <si>
    <t>Maref, Camélia-Farah</t>
  </si>
  <si>
    <t>Martinet, Charlotte</t>
  </si>
  <si>
    <t>Massie, Colin</t>
  </si>
  <si>
    <t>Moreau, Nicolas</t>
  </si>
  <si>
    <t>Munoz, Noa-Gabriel</t>
  </si>
  <si>
    <t>Paquet, Sunny</t>
  </si>
  <si>
    <t>Payette, Laurent C.</t>
  </si>
  <si>
    <t>Perez Yip, Allison Katyusca</t>
  </si>
  <si>
    <t>Pham, Gia</t>
  </si>
  <si>
    <t>Robert, Jérémy</t>
  </si>
  <si>
    <t>Robillard, Thomas</t>
  </si>
  <si>
    <t>Savidan, Alexis</t>
  </si>
  <si>
    <t>Schettino, Julian</t>
  </si>
  <si>
    <t>Sinde, Anne Espoir</t>
  </si>
  <si>
    <t>Stébenne Tanguay, Cassandre</t>
  </si>
  <si>
    <t>Tachet, Asma</t>
  </si>
  <si>
    <t>Vigneau, Nathaël</t>
  </si>
  <si>
    <t>Aïnouche, Yani</t>
  </si>
  <si>
    <t>F02</t>
  </si>
  <si>
    <t>Ballas, Elsa</t>
  </si>
  <si>
    <t>Barraud, Lucas</t>
  </si>
  <si>
    <t>Beaudry-Peyskens, Alexia</t>
  </si>
  <si>
    <t>Bélanger, Ulric</t>
  </si>
  <si>
    <t>Benbarka, Kenza</t>
  </si>
  <si>
    <t>Bertolotti, Nathan</t>
  </si>
  <si>
    <t>Boukala, Amine</t>
  </si>
  <si>
    <t>Boukhatem, Rayane</t>
  </si>
  <si>
    <t>Brunet, Olivier</t>
  </si>
  <si>
    <t>Chassé, Jérémy</t>
  </si>
  <si>
    <t>Chea, Angelie</t>
  </si>
  <si>
    <t>Chiba, Rayane</t>
  </si>
  <si>
    <t>Courtemanche, Mathieu</t>
  </si>
  <si>
    <t>Dahdah, Nellie</t>
  </si>
  <si>
    <t>Daviau, Maxime</t>
  </si>
  <si>
    <t>Deblois, Kelly-Anne</t>
  </si>
  <si>
    <t>Dubois, Marco</t>
  </si>
  <si>
    <t>Dupré, Heïdi</t>
  </si>
  <si>
    <t>Dussault, Justin</t>
  </si>
  <si>
    <t>El Aidi, Adam</t>
  </si>
  <si>
    <t>Elgouri, Arslan</t>
  </si>
  <si>
    <t>Farhat, Jad</t>
  </si>
  <si>
    <t>Ferland, Judith</t>
  </si>
  <si>
    <t>Fortin, Marie-Ève</t>
  </si>
  <si>
    <t>Gagné-Laviolette, Chloé</t>
  </si>
  <si>
    <t>Gosselin, Loïc</t>
  </si>
  <si>
    <t>Harfouche, Thamine</t>
  </si>
  <si>
    <t>Harnois, Samuel</t>
  </si>
  <si>
    <t>Herrera Rivero, Jordana Brando</t>
  </si>
  <si>
    <t>Lachance, Mathias</t>
  </si>
  <si>
    <t>Lajhar, Dounia-Nawell</t>
  </si>
  <si>
    <t>Lapointe, Florence</t>
  </si>
  <si>
    <t>Laurendeau, Émile</t>
  </si>
  <si>
    <t>Leclerc, Émilie</t>
  </si>
  <si>
    <t>L'Écuyer, Philippe-Antoine</t>
  </si>
  <si>
    <t>Lessard, Marianne</t>
  </si>
  <si>
    <t>Maslé-Aubin, Victor</t>
  </si>
  <si>
    <t>Mayrand, Anaïs</t>
  </si>
  <si>
    <t>Morier, Julien</t>
  </si>
  <si>
    <t>Nakhly, Hamza</t>
  </si>
  <si>
    <t>Nguyen, Luu Minh Tri</t>
  </si>
  <si>
    <t>Normandeau, Louis-Kim</t>
  </si>
  <si>
    <t>Ouellet, Victor</t>
  </si>
  <si>
    <t>Pavsek, Karl</t>
  </si>
  <si>
    <t>Pelletier, Arnaud</t>
  </si>
  <si>
    <t>Pigeon, Émile</t>
  </si>
  <si>
    <t>Pucar, Pierre-Alexandre</t>
  </si>
  <si>
    <t>Purewal, Aryan</t>
  </si>
  <si>
    <t>Raharinaivo, Faniry</t>
  </si>
  <si>
    <t>Rainville, Sophie-Charlotte</t>
  </si>
  <si>
    <t>Ramdane, Lina</t>
  </si>
  <si>
    <t>Robert de Massy, Léo</t>
  </si>
  <si>
    <t>Soum-Cimino, Mathis</t>
  </si>
  <si>
    <t>Tan, Charles Philippe</t>
  </si>
  <si>
    <t>Tremblay, Mikaël</t>
  </si>
  <si>
    <t>Vallette, Jules</t>
  </si>
  <si>
    <t>Alsafadi, Samia</t>
  </si>
  <si>
    <t>F03</t>
  </si>
  <si>
    <t>Auger, Camille</t>
  </si>
  <si>
    <t>Banford, Elizabeth</t>
  </si>
  <si>
    <t>Bédard, Nicolas</t>
  </si>
  <si>
    <t>Bernard, Magalie</t>
  </si>
  <si>
    <t>Boivin, Clara</t>
  </si>
  <si>
    <t>Bouchard, Anthony</t>
  </si>
  <si>
    <t>Boutet, Félix</t>
  </si>
  <si>
    <t>Brousseau, Louis</t>
  </si>
  <si>
    <t>Carrera, Emmanuel</t>
  </si>
  <si>
    <t>Catafago, Marc</t>
  </si>
  <si>
    <t>Champagne, Julia</t>
  </si>
  <si>
    <t>Charlebois, Rosalie</t>
  </si>
  <si>
    <t>Chenu, Ludovic</t>
  </si>
  <si>
    <t>Cholette, Étienne</t>
  </si>
  <si>
    <t>Chouinard, Mathieu</t>
  </si>
  <si>
    <t>Cloutier, Félix</t>
  </si>
  <si>
    <t>Croteau, Jordan</t>
  </si>
  <si>
    <t>Dagenais, Thomas</t>
  </si>
  <si>
    <t>Desjardins, Lehla</t>
  </si>
  <si>
    <t>Desrosiers, Julianne</t>
  </si>
  <si>
    <t>Doyon, Jules</t>
  </si>
  <si>
    <t>Fleurimond, Mathis</t>
  </si>
  <si>
    <t>Fouquet, Mathilde</t>
  </si>
  <si>
    <t>Galipeau, Malianne</t>
  </si>
  <si>
    <t>Garreaud, Nicolas</t>
  </si>
  <si>
    <t>Gélinas, Louis-Charles</t>
  </si>
  <si>
    <t>Geneau, Gabrielle</t>
  </si>
  <si>
    <t>George, Emma</t>
  </si>
  <si>
    <t>Georgiadis, Anne-Marie</t>
  </si>
  <si>
    <t>Gravel, Anne-Sophie</t>
  </si>
  <si>
    <t>Gravel, Jérémy</t>
  </si>
  <si>
    <t>Grenier, Vincent</t>
  </si>
  <si>
    <t>Hum, Brandon</t>
  </si>
  <si>
    <t>Kartout, Imane</t>
  </si>
  <si>
    <t>Kebbab, Iness</t>
  </si>
  <si>
    <t>Labelle, Charles-Philippe</t>
  </si>
  <si>
    <t>Lachapelle, Laurie</t>
  </si>
  <si>
    <t>Lafortune, Antoine</t>
  </si>
  <si>
    <t>Laurore, Alïa Icha</t>
  </si>
  <si>
    <t>Leblond, Antoine</t>
  </si>
  <si>
    <t>Leduc, Laurie</t>
  </si>
  <si>
    <t>Lussier, Isaï</t>
  </si>
  <si>
    <t>Marchand, Charles</t>
  </si>
  <si>
    <t>Mbazoa Ondoa, Armelle Lena</t>
  </si>
  <si>
    <t>Mercier, Simon</t>
  </si>
  <si>
    <t>Mondalak, Rita-Cynthia</t>
  </si>
  <si>
    <t>Moulla, Rayan</t>
  </si>
  <si>
    <t>Nguyen, Thanh Truc Christina</t>
  </si>
  <si>
    <t>Nonckelynck, Louis</t>
  </si>
  <si>
    <t>Pellan-Sayegh, Annabelle</t>
  </si>
  <si>
    <t>Potvin, Léonie</t>
  </si>
  <si>
    <t>Rizzuto, Laurent</t>
  </si>
  <si>
    <t>Sacca Boco, Amal Regis</t>
  </si>
  <si>
    <t>Sy, Hadja Aissatou</t>
  </si>
  <si>
    <t>Tamari, Alexandre</t>
  </si>
  <si>
    <t>Tremblay, Sarah</t>
  </si>
  <si>
    <t>Yagoub, Abderrahim</t>
  </si>
  <si>
    <t>Aïssani, Sarah Elisabeth</t>
  </si>
  <si>
    <t>F04</t>
  </si>
  <si>
    <t>Arab, Ayah</t>
  </si>
  <si>
    <t>Asnaoui, Yahia</t>
  </si>
  <si>
    <t>Bentamy, Rym</t>
  </si>
  <si>
    <t>Bergeron, Justin</t>
  </si>
  <si>
    <t>Bernier, Guillaume</t>
  </si>
  <si>
    <t>Bessaïh Legault, Shems</t>
  </si>
  <si>
    <t>Bolullo, Zachary</t>
  </si>
  <si>
    <t>Bouvrette, Louis-Félix</t>
  </si>
  <si>
    <t>Brunet-Dubeau, Thomas</t>
  </si>
  <si>
    <t>Bustamante, Nolan</t>
  </si>
  <si>
    <t>Caillé, Mégane</t>
  </si>
  <si>
    <t>Cloutier, Benjamin</t>
  </si>
  <si>
    <t>Collin, Cora</t>
  </si>
  <si>
    <t>Danh, Andy Khai Duy</t>
  </si>
  <si>
    <t>Denis, Célestin</t>
  </si>
  <si>
    <t>Dionne, Daphné</t>
  </si>
  <si>
    <t>Fares, Rayan</t>
  </si>
  <si>
    <t>Faucher, Jérémie</t>
  </si>
  <si>
    <t>Forget, Julien</t>
  </si>
  <si>
    <t>Grandmaison, Benjamin</t>
  </si>
  <si>
    <t>Gravel, Audréanne</t>
  </si>
  <si>
    <t>Haeck, Tristan</t>
  </si>
  <si>
    <t>Konkova, Tatiana</t>
  </si>
  <si>
    <t>Lachapelle, Laura</t>
  </si>
  <si>
    <t>Lamontagne, Florence</t>
  </si>
  <si>
    <t>Lamoureux, Justin</t>
  </si>
  <si>
    <t>Lapointe, Frédérique</t>
  </si>
  <si>
    <t>Latulippe, Méganne</t>
  </si>
  <si>
    <t>Leclerc, David</t>
  </si>
  <si>
    <t>Lesage, Antoine</t>
  </si>
  <si>
    <t>Létourneau, Emie</t>
  </si>
  <si>
    <t>Liu, Hong Yu</t>
  </si>
  <si>
    <t>Loisel, Jean-Philippe</t>
  </si>
  <si>
    <t>Maisonnasse, Margaux</t>
  </si>
  <si>
    <t>May, Anna</t>
  </si>
  <si>
    <t>Moussatef, Ismail</t>
  </si>
  <si>
    <t>Plante, Émile</t>
  </si>
  <si>
    <t>Poisson, Benjamin</t>
  </si>
  <si>
    <t>Rackin, Eloïse Michèle</t>
  </si>
  <si>
    <t>Rivard, Nicolas</t>
  </si>
  <si>
    <t>Robert, Angélique</t>
  </si>
  <si>
    <t>Roy, Jordan</t>
  </si>
  <si>
    <t>Saïbi, Zidane</t>
  </si>
  <si>
    <t>Saouma, Elie</t>
  </si>
  <si>
    <t>Serbouh, Tilleli</t>
  </si>
  <si>
    <t>Soubki, Youness</t>
  </si>
  <si>
    <t>St-Jean, Charles-Olivier</t>
  </si>
  <si>
    <t>Théroux-Duguay, Jacob</t>
  </si>
  <si>
    <t>Abedini, Aida</t>
  </si>
  <si>
    <t>F05</t>
  </si>
  <si>
    <t>Aledi, Elzam Romance</t>
  </si>
  <si>
    <t>Ameur, Imane</t>
  </si>
  <si>
    <t>Bah, Aisha Rama Iman</t>
  </si>
  <si>
    <t>Beaumont, Léo Charles</t>
  </si>
  <si>
    <t>Benouareth, Amel Affef</t>
  </si>
  <si>
    <t>Berger, Théo</t>
  </si>
  <si>
    <t>Bérubé, Amélie</t>
  </si>
  <si>
    <t>Blanchet, Mathis</t>
  </si>
  <si>
    <t>Boutin, Samuel</t>
  </si>
  <si>
    <t>Chetoui, Sabrina</t>
  </si>
  <si>
    <t>Clément-Myette, Léonard</t>
  </si>
  <si>
    <t>Cloutier, Raphaël</t>
  </si>
  <si>
    <t>Crossier, Enrique</t>
  </si>
  <si>
    <t>De Lottinville, Jérôme</t>
  </si>
  <si>
    <t>Demets, Frédérique</t>
  </si>
  <si>
    <t>Dessalines, Emerik</t>
  </si>
  <si>
    <t>Di Marco, Alexio</t>
  </si>
  <si>
    <t>Driss, Mohamed Mahdi</t>
  </si>
  <si>
    <t>Elkaïm, Charlotte</t>
  </si>
  <si>
    <t>Emond, Audrey</t>
  </si>
  <si>
    <t>Fafard, Mathilde</t>
  </si>
  <si>
    <t>Fraser, Eve R.</t>
  </si>
  <si>
    <t>Friedrich, Alec</t>
  </si>
  <si>
    <t>Gamassi, Nour El Houda</t>
  </si>
  <si>
    <t>Houle, Benjamin</t>
  </si>
  <si>
    <t>Idrissi Qaïtouni, Oneyssa</t>
  </si>
  <si>
    <t>Lacroix, Laïka</t>
  </si>
  <si>
    <t>Lalonde, Élodie</t>
  </si>
  <si>
    <t>Larocque, Emeric</t>
  </si>
  <si>
    <t>Latourelle, Olivier</t>
  </si>
  <si>
    <t>Le, Cindy</t>
  </si>
  <si>
    <t>Lefort, Émilien</t>
  </si>
  <si>
    <t>Létourneau Campeau, Emma</t>
  </si>
  <si>
    <t>Martin, Emmanuelle</t>
  </si>
  <si>
    <t>Martin, Raphaël</t>
  </si>
  <si>
    <t>Martinez Padilla, Mylene</t>
  </si>
  <si>
    <t>Menhem, Marwa</t>
  </si>
  <si>
    <t>Mezidi, Tarek</t>
  </si>
  <si>
    <t>Mohammed, Isra</t>
  </si>
  <si>
    <t>Moujettate, Nidal</t>
  </si>
  <si>
    <t>Murched, Patricia</t>
  </si>
  <si>
    <t>Nadir, Mahdi Abderraouf</t>
  </si>
  <si>
    <t>Nour, Maria</t>
  </si>
  <si>
    <t>Pépin, Émile</t>
  </si>
  <si>
    <t>Pilette, Rosalie</t>
  </si>
  <si>
    <t>Poirier, Kameron</t>
  </si>
  <si>
    <t>Portelance, Edouard</t>
  </si>
  <si>
    <t>Raiche, Sandrine</t>
  </si>
  <si>
    <t>Raymond, Tristan</t>
  </si>
  <si>
    <t>Rochefort, Amélie</t>
  </si>
  <si>
    <t>Souakri, Djihane</t>
  </si>
  <si>
    <t>St-Jean, Clara</t>
  </si>
  <si>
    <t>St-Pierre-Modérie, Arianne</t>
  </si>
  <si>
    <t>Tan, Marie-Josée</t>
  </si>
  <si>
    <t>Vaillancourt, Félix</t>
  </si>
  <si>
    <t>Vaitilingame, David</t>
  </si>
  <si>
    <t>Vallée, Mikaël</t>
  </si>
  <si>
    <t>Zalani, Iskander</t>
  </si>
  <si>
    <t>Zerkhefaoui, Anais</t>
  </si>
  <si>
    <t>Ahsan, Alina</t>
  </si>
  <si>
    <t>F06</t>
  </si>
  <si>
    <t>Allard, Alexis</t>
  </si>
  <si>
    <t>Anastopoulos-Giannes, Alexia</t>
  </si>
  <si>
    <t>Anctil, Émile</t>
  </si>
  <si>
    <t>Asavei, Anissia</t>
  </si>
  <si>
    <t>Attar, Hajjar Narimane</t>
  </si>
  <si>
    <t>Attorre, Naya</t>
  </si>
  <si>
    <t>Barros, Alexandre</t>
  </si>
  <si>
    <t>Beck-Haviernick, Louis</t>
  </si>
  <si>
    <t>Bélanger, Viviane</t>
  </si>
  <si>
    <t>Bilodeau, Charlotte</t>
  </si>
  <si>
    <t>Bissonnette, Julien</t>
  </si>
  <si>
    <t>Blanchette, Félix</t>
  </si>
  <si>
    <t>Blondeau, Naomie</t>
  </si>
  <si>
    <t>Bourque, Jacob-Élie</t>
  </si>
  <si>
    <t>Charette, Maxim</t>
  </si>
  <si>
    <t>Coursol, Émile</t>
  </si>
  <si>
    <t>Daigle, Mélia</t>
  </si>
  <si>
    <t>Depatureaux, Elise</t>
  </si>
  <si>
    <t>Depotter, Noémie</t>
  </si>
  <si>
    <t>Desbiens, Charles-Antoine</t>
  </si>
  <si>
    <t>Di Maulo, Nicholas</t>
  </si>
  <si>
    <t>Diop, Saër Babakar</t>
  </si>
  <si>
    <t>Dubuc, Marc-André</t>
  </si>
  <si>
    <t>El Mikkawi, Wael</t>
  </si>
  <si>
    <t>Fontaine, Charles-Antoine</t>
  </si>
  <si>
    <t>Fortier, Jamal</t>
  </si>
  <si>
    <t>Fortin, Léa</t>
  </si>
  <si>
    <t>Fraser, Jade R.</t>
  </si>
  <si>
    <t>Gagnon, Andréanne</t>
  </si>
  <si>
    <t>Gillot, Clément</t>
  </si>
  <si>
    <t>Groza, Alexandru</t>
  </si>
  <si>
    <t>Guibord, Mathieu</t>
  </si>
  <si>
    <t>Guitouni, Yasmine</t>
  </si>
  <si>
    <t>Jeannotte, Léa</t>
  </si>
  <si>
    <t>Lamer, Juliette</t>
  </si>
  <si>
    <t>Lavoie, Victor</t>
  </si>
  <si>
    <t>Lefebvre, Julien</t>
  </si>
  <si>
    <t>Létourneau Quintal, Maddox</t>
  </si>
  <si>
    <t>Lussier, Emma</t>
  </si>
  <si>
    <t>Monnin, Alexandre</t>
  </si>
  <si>
    <t>Mourabit, Mohammed Amine</t>
  </si>
  <si>
    <t>Nafti, Ahmed</t>
  </si>
  <si>
    <t>Nantel, Louis-Thomas</t>
  </si>
  <si>
    <t>Ouimet, Mégane</t>
  </si>
  <si>
    <t>Padilla Lopez, Aileen Azul Celeste</t>
  </si>
  <si>
    <t>Palhories, Scarlett</t>
  </si>
  <si>
    <t>Pemont, Tahina</t>
  </si>
  <si>
    <t>Poirier, Sara</t>
  </si>
  <si>
    <t>Riendeau, Marc-André</t>
  </si>
  <si>
    <t>Roussy, Kevin</t>
  </si>
  <si>
    <t>Roy, Alexis</t>
  </si>
  <si>
    <t>Trudel, Mathis</t>
  </si>
  <si>
    <t>Vallières-Marin, Sarah</t>
  </si>
  <si>
    <t>Venne, Joseph</t>
  </si>
  <si>
    <t>Viau, Rose-Emmanuelle</t>
  </si>
  <si>
    <t>Walsh, Alexia</t>
  </si>
  <si>
    <t>Zerouali, Riad</t>
  </si>
  <si>
    <t>Beaulieu, Samuel</t>
  </si>
  <si>
    <t>F07</t>
  </si>
  <si>
    <t>Bibeau, Jade</t>
  </si>
  <si>
    <t>Bourasm, Joulia</t>
  </si>
  <si>
    <t>Brouta, Camille</t>
  </si>
  <si>
    <t>Burman-Ferland, Adam</t>
  </si>
  <si>
    <t>Campeau, Maxime</t>
  </si>
  <si>
    <t>Caruso, Xavier</t>
  </si>
  <si>
    <t>Charpentier, Tess</t>
  </si>
  <si>
    <t>Chekaiban, Anthony</t>
  </si>
  <si>
    <t>Christophe-Grammont, Micky</t>
  </si>
  <si>
    <t>Colombo, Giulio</t>
  </si>
  <si>
    <t>Comsulea, Nicolas</t>
  </si>
  <si>
    <t>Côté, Alexandre</t>
  </si>
  <si>
    <t>Dahmani, Lina Farah</t>
  </si>
  <si>
    <t>Daigle, Nicolas</t>
  </si>
  <si>
    <t>Darian, Steven</t>
  </si>
  <si>
    <t>DeGrâce, Allie</t>
  </si>
  <si>
    <t>Desrochers, Amélia</t>
  </si>
  <si>
    <t>Djerrah, Rayan</t>
  </si>
  <si>
    <t>Ferneini, Lea</t>
  </si>
  <si>
    <t>Gélinas, Jérémie</t>
  </si>
  <si>
    <t>Gendron, Félix</t>
  </si>
  <si>
    <t>George, Jacob</t>
  </si>
  <si>
    <t>Godbout, Joël</t>
  </si>
  <si>
    <t>Gouin, Étienne</t>
  </si>
  <si>
    <t>Guindon, Jordane</t>
  </si>
  <si>
    <t>Keita, Naman</t>
  </si>
  <si>
    <t>Khalil, Liam</t>
  </si>
  <si>
    <t>Lagarde-Mercure, Juliette</t>
  </si>
  <si>
    <t>Lanciault, Félix</t>
  </si>
  <si>
    <t>Landry, Thomas</t>
  </si>
  <si>
    <t>Lapointe, Dominic</t>
  </si>
  <si>
    <t>Lavallée, Samuel</t>
  </si>
  <si>
    <t>Légaré, Samuel</t>
  </si>
  <si>
    <t>Loignon, Olivier</t>
  </si>
  <si>
    <t>Lussier, Frédéric</t>
  </si>
  <si>
    <t>Martel, Félix</t>
  </si>
  <si>
    <t>Mayer, Floriane</t>
  </si>
  <si>
    <t>Milliard, Juliette</t>
  </si>
  <si>
    <t>Nadeau, Gabriel</t>
  </si>
  <si>
    <t>N'Dri, Henri Charles Elie</t>
  </si>
  <si>
    <t>Neveu, Clothilde</t>
  </si>
  <si>
    <t>Olpak, Merve</t>
  </si>
  <si>
    <t>Plante, Romain</t>
  </si>
  <si>
    <t>Poulin, Thomas</t>
  </si>
  <si>
    <t>Racine, William</t>
  </si>
  <si>
    <t>Ravary, Justin</t>
  </si>
  <si>
    <t>Rezzik, Sarah</t>
  </si>
  <si>
    <t>Ruzzo, Giuliano</t>
  </si>
  <si>
    <t>Sabbah, Albert</t>
  </si>
  <si>
    <t>Sarrasin, Mathias</t>
  </si>
  <si>
    <t>Savoie, Sabrina</t>
  </si>
  <si>
    <t>Souaker, Amel</t>
  </si>
  <si>
    <t>Tardif, Olivier</t>
  </si>
  <si>
    <t>Tleije, Jad</t>
  </si>
  <si>
    <t>Vaillancourt, Alix</t>
  </si>
  <si>
    <t>Vaithilingam, Jathy</t>
  </si>
  <si>
    <t>Viens, Océanie Vadsanah</t>
  </si>
  <si>
    <t>Viguera Baran, Andrea</t>
  </si>
  <si>
    <t>Warnant, Xavier</t>
  </si>
  <si>
    <t>Audet, Alexandre</t>
  </si>
  <si>
    <t>F08</t>
  </si>
  <si>
    <t>Babin, Chloé</t>
  </si>
  <si>
    <t>Baillargeon, Frédéric</t>
  </si>
  <si>
    <t>Belarbi, Yasmine</t>
  </si>
  <si>
    <t>Benabdoun, Adam</t>
  </si>
  <si>
    <t>Bennouna-Louridi, Youssef</t>
  </si>
  <si>
    <t>Bertrand, Marika</t>
  </si>
  <si>
    <t>Bérubé, Samuel</t>
  </si>
  <si>
    <t>Blanchard, Romain</t>
  </si>
  <si>
    <t>Bourgeois-Barry, Arnaud</t>
  </si>
  <si>
    <t>Camacho Motta, Brian-José</t>
  </si>
  <si>
    <t>Cousineau, Daphnée</t>
  </si>
  <si>
    <t>Doire, Raphael</t>
  </si>
  <si>
    <t>Dupont, Matisse</t>
  </si>
  <si>
    <t>Farsane, Fatima</t>
  </si>
  <si>
    <t>Fontaine, Pénélope</t>
  </si>
  <si>
    <t>Fournier, Anna</t>
  </si>
  <si>
    <t>Gabay, Laetitia</t>
  </si>
  <si>
    <t>Gaignon, Julien</t>
  </si>
  <si>
    <t>Gamache, Loïc</t>
  </si>
  <si>
    <t>Gaulin, Léa</t>
  </si>
  <si>
    <t>Gauthier, Marie-Claire</t>
  </si>
  <si>
    <t>Goyette, Emilie</t>
  </si>
  <si>
    <t>Hadj-Larbi, Naïla</t>
  </si>
  <si>
    <t>Hébert, Mathis</t>
  </si>
  <si>
    <t>Iannuzzi, Maya</t>
  </si>
  <si>
    <t>Ideo, Ilana</t>
  </si>
  <si>
    <t>Jaouad, Dina</t>
  </si>
  <si>
    <t>Kaur, Chanpreet</t>
  </si>
  <si>
    <t>Kénol, Terrick-Jay</t>
  </si>
  <si>
    <t>Khemakhem, Selim</t>
  </si>
  <si>
    <t>Labelle, William</t>
  </si>
  <si>
    <t>Labouret, Matis</t>
  </si>
  <si>
    <t>Landreville, Zackiel</t>
  </si>
  <si>
    <t>Legros, Noa</t>
  </si>
  <si>
    <t>Lemire, Maxime</t>
  </si>
  <si>
    <t>Levasseur, Jean</t>
  </si>
  <si>
    <t>Marceau, Corinne</t>
  </si>
  <si>
    <t>Marcotte, Émilie</t>
  </si>
  <si>
    <t>Masson, Noah</t>
  </si>
  <si>
    <t>Mousseau, Paige</t>
  </si>
  <si>
    <t>Nassime, Noah</t>
  </si>
  <si>
    <t>Nguyen, Lea Quynh-Nhu</t>
  </si>
  <si>
    <t>Ohayon, Alizée</t>
  </si>
  <si>
    <t>Perreault, Thomas</t>
  </si>
  <si>
    <t>Picher-Boutin, Charlie</t>
  </si>
  <si>
    <t>Quenneville, Noémie</t>
  </si>
  <si>
    <t>Roch, Maxime</t>
  </si>
  <si>
    <t>Simo Foko, Jean Baptiste</t>
  </si>
  <si>
    <t>Sonier, Cédric</t>
  </si>
  <si>
    <t>St-Hilaire, Cassandra</t>
  </si>
  <si>
    <t>Tchuetka, Yanis Kélyan</t>
  </si>
  <si>
    <t>Temsamani Mokaddem, Youssef</t>
  </si>
  <si>
    <t>Tétreault, Thomas</t>
  </si>
  <si>
    <t>Thérien-Labonté, Julianne</t>
  </si>
  <si>
    <t>Tremblay, Clara</t>
  </si>
  <si>
    <t>Trihey, Mathias</t>
  </si>
  <si>
    <t>Valois, Audrey</t>
  </si>
  <si>
    <t>Wahib Daher, Rayanne</t>
  </si>
  <si>
    <t>Aucoin, Kamille</t>
  </si>
  <si>
    <t>F09</t>
  </si>
  <si>
    <t>Ayotte, Noémie</t>
  </si>
  <si>
    <t>Beaudet, Hugo</t>
  </si>
  <si>
    <t>Boisseau, Tristan</t>
  </si>
  <si>
    <t>Bouchard, Médérik</t>
  </si>
  <si>
    <t>Bouchard, Thomas</t>
  </si>
  <si>
    <t>Boucher, Laurie-Anne</t>
  </si>
  <si>
    <t>Bourbonnais, Béatrice</t>
  </si>
  <si>
    <t>Bourgeois, Chiara</t>
  </si>
  <si>
    <t>Brissette, Antoine</t>
  </si>
  <si>
    <t>Brossoit, Olivier</t>
  </si>
  <si>
    <t>Cantin, Laurence</t>
  </si>
  <si>
    <t>Chan Tave, Brittany</t>
  </si>
  <si>
    <t>Chrifi Alaoui, Aya</t>
  </si>
  <si>
    <t>Côté, Mélissa</t>
  </si>
  <si>
    <t>Di Tomasso, Laurent</t>
  </si>
  <si>
    <t>Drouin, Anne-Marie</t>
  </si>
  <si>
    <t>El-Kazzi, Charbel</t>
  </si>
  <si>
    <t>El Mdadi, Mohamed Al-Amine</t>
  </si>
  <si>
    <t>Faramazyan, Polina</t>
  </si>
  <si>
    <t>Fortin, Maude</t>
  </si>
  <si>
    <t>Gendreau, Olivier</t>
  </si>
  <si>
    <t>Grenier, Thomas</t>
  </si>
  <si>
    <t>Hamra, Nadine</t>
  </si>
  <si>
    <t>Huot, Thomas</t>
  </si>
  <si>
    <t>Ishimwe, Eliane</t>
  </si>
  <si>
    <t>Landry, Magali</t>
  </si>
  <si>
    <t>Lapointe, Jérémie</t>
  </si>
  <si>
    <t>Le-Perrault, Maxime</t>
  </si>
  <si>
    <t>Lussier, Guillaume</t>
  </si>
  <si>
    <t>Marchand, Hugo</t>
  </si>
  <si>
    <t>Marek, Adriana</t>
  </si>
  <si>
    <t>Mayrand, Jade</t>
  </si>
  <si>
    <t>Parizeau, Catherine</t>
  </si>
  <si>
    <t>Pennefather, Alex</t>
  </si>
  <si>
    <t>Perreault, Amilia</t>
  </si>
  <si>
    <t>Petkova, Sara</t>
  </si>
  <si>
    <t>Pichette, Marc-André</t>
  </si>
  <si>
    <t>Sabourin, Emile</t>
  </si>
  <si>
    <t>Salameh, Yasminah</t>
  </si>
  <si>
    <t>Saurette, Benjamin</t>
  </si>
  <si>
    <t>St-Martin, Eugénie</t>
  </si>
  <si>
    <t>Strogova, Nicole</t>
  </si>
  <si>
    <t>Trudel, Sara-Kym</t>
  </si>
  <si>
    <t>Tsafack Mbotazo, Ryan Landry</t>
  </si>
  <si>
    <t>Vignon, Antoine</t>
  </si>
  <si>
    <t>Vincent, Frédéric</t>
  </si>
  <si>
    <t>Waddell, Émile</t>
  </si>
  <si>
    <t>Williams, Maxime</t>
  </si>
  <si>
    <t>Yanssoun, Jon Remi</t>
  </si>
  <si>
    <t>Agudelo Patino, Daniel Esteban</t>
  </si>
  <si>
    <t>T30</t>
  </si>
  <si>
    <t>Amaudric du Chaffaut, Ombline</t>
  </si>
  <si>
    <t>Andrade-Odar, Jose-Daniel</t>
  </si>
  <si>
    <t>Bacquet, Mathilde</t>
  </si>
  <si>
    <t>Casillas Sanchez, Jimena</t>
  </si>
  <si>
    <t>Cornille, Elsa</t>
  </si>
  <si>
    <t>Coste, Victoire</t>
  </si>
  <si>
    <t>Desmarais, Sofia</t>
  </si>
  <si>
    <t>Essoh, Lohoues Paul-Arnaud</t>
  </si>
  <si>
    <t>Gienislaw Vel Lewkowicz, Carla Hélène Françoise</t>
  </si>
  <si>
    <t>Giorgio-Hernandez, Kiana</t>
  </si>
  <si>
    <t>Godin, Ariane</t>
  </si>
  <si>
    <t>Houmir, Tahra</t>
  </si>
  <si>
    <t>Jean-François, Noah</t>
  </si>
  <si>
    <t>Lambert de Beaulieu, Inés</t>
  </si>
  <si>
    <t>Lamblin, Alexandre</t>
  </si>
  <si>
    <t>Lamy, Maximilien</t>
  </si>
  <si>
    <t>Lavoie, Justin</t>
  </si>
  <si>
    <t>Lefebvre, Nicolas Alexei</t>
  </si>
  <si>
    <t>Llor, Sarah</t>
  </si>
  <si>
    <t>Londono Alzate, Miguel E.</t>
  </si>
  <si>
    <t>Medina Martinez, Juan David</t>
  </si>
  <si>
    <t>Molina Moreno, Paulo Andres</t>
  </si>
  <si>
    <t>Ochoa Fernandez, Yulianna</t>
  </si>
  <si>
    <t>Osman, Wissam</t>
  </si>
  <si>
    <t>Perez Dudley, Marianne Andrea</t>
  </si>
  <si>
    <t>Ponçon, André</t>
  </si>
  <si>
    <t>Poussart-Mulas, Elena</t>
  </si>
  <si>
    <t>Prévost, Noam</t>
  </si>
  <si>
    <t>Robinson Cueva, Charlotte</t>
  </si>
  <si>
    <t>Roncancio Medina, Nicole Dayanna</t>
  </si>
  <si>
    <t>Sierra Tovar, Sara</t>
  </si>
  <si>
    <t xml:space="preserve">% billets vendues </t>
  </si>
  <si>
    <t>Prix</t>
  </si>
  <si>
    <t># des Stades</t>
  </si>
  <si>
    <t>Prix total</t>
  </si>
  <si>
    <t>Coûts</t>
  </si>
  <si>
    <t xml:space="preserve">Montant des taxes </t>
  </si>
  <si>
    <t>Option 2</t>
  </si>
  <si>
    <t xml:space="preserve">Profit total du groupe A </t>
  </si>
  <si>
    <t xml:space="preserve">Profit total du groupe B </t>
  </si>
  <si>
    <t xml:space="preserve">Profit total du groupe C </t>
  </si>
  <si>
    <t xml:space="preserve">Profit total du groupe D </t>
  </si>
  <si>
    <t xml:space="preserve">Profit total du groupe E </t>
  </si>
  <si>
    <t xml:space="preserve">Profit total du groupe F </t>
  </si>
  <si>
    <t xml:space="preserve">Profit total du groupe G </t>
  </si>
  <si>
    <t xml:space="preserve">Profit total du groupe H </t>
  </si>
  <si>
    <t xml:space="preserve">Profit total du groupe I </t>
  </si>
  <si>
    <t xml:space="preserve">Profit total du groupe J </t>
  </si>
  <si>
    <t>Total général</t>
  </si>
  <si>
    <t xml:space="preserve">Groupes </t>
  </si>
  <si>
    <t>Min</t>
  </si>
  <si>
    <t>Max</t>
  </si>
  <si>
    <t xml:space="preserve">Moyenne </t>
  </si>
  <si>
    <t xml:space="preserve">Mediane </t>
  </si>
  <si>
    <t>Ecart-Type</t>
  </si>
  <si>
    <t xml:space="preserve">Etendue </t>
  </si>
  <si>
    <t>Option 1</t>
  </si>
  <si>
    <t xml:space="preserve">Billets vendues du grp A </t>
  </si>
  <si>
    <t>Billets vendues du grp B</t>
  </si>
  <si>
    <t>Billets vendues du grp C</t>
  </si>
  <si>
    <t>Billets vendues du grp D</t>
  </si>
  <si>
    <t>Billets vendues du grp F</t>
  </si>
  <si>
    <t>Billets vendues du grp G</t>
  </si>
  <si>
    <t>Billets vendues du grp H</t>
  </si>
  <si>
    <t>Billets vendues du grp I</t>
  </si>
  <si>
    <t>Billets vendues du grp E</t>
  </si>
  <si>
    <t>Billets vendues du grp J</t>
  </si>
  <si>
    <t>Proportion</t>
  </si>
  <si>
    <t xml:space="preserve">Total                                                                               </t>
  </si>
  <si>
    <t>Profit</t>
  </si>
  <si>
    <t xml:space="preserve">Identification des élements </t>
  </si>
  <si>
    <t>J (Min)</t>
  </si>
  <si>
    <t>A (Max)</t>
  </si>
  <si>
    <t/>
  </si>
  <si>
    <t>I (Min)</t>
  </si>
  <si>
    <t>B (Max)</t>
  </si>
  <si>
    <t>Nbr Match</t>
  </si>
  <si>
    <t>Nbr de match</t>
  </si>
  <si>
    <t>10 (Espagne)</t>
  </si>
  <si>
    <t>5 (Espagne)</t>
  </si>
  <si>
    <t>Stades/Pays</t>
  </si>
  <si>
    <t>Sous capacité</t>
  </si>
  <si>
    <t xml:space="preserve">Sous capacité </t>
  </si>
  <si>
    <t xml:space="preserve">Répartition des matchs </t>
  </si>
  <si>
    <t>Répartition des matchs</t>
  </si>
  <si>
    <t xml:space="preserve">Total </t>
  </si>
  <si>
    <t>Catégories</t>
  </si>
  <si>
    <t>Catégorie</t>
  </si>
  <si>
    <t>Sous-capacité</t>
  </si>
  <si>
    <t>Grande capacité</t>
  </si>
  <si>
    <t>Numéro de section</t>
  </si>
  <si>
    <t>Objectifs d'apprentissages</t>
  </si>
  <si>
    <r>
      <t xml:space="preserve">Nombre de membre dans l'équipe </t>
    </r>
    <r>
      <rPr>
        <sz val="11"/>
        <color rgb="FFC00000"/>
        <rFont val="Calibri"/>
        <family val="2"/>
        <scheme val="minor"/>
      </rPr>
      <t>(3 à 5)</t>
    </r>
  </si>
  <si>
    <r>
      <t xml:space="preserve">Dans le cours d'analytique d'affaires, nous évaluons trois grands objectifs d'apprentissage, et ils sont tous évalués dans les rapports. Ces objectifs sont énoncés ci-dessous. Vous trouverez à gauche de cette description une note littérale reflétant votre niveau d'atteinte de chacun des objectifs. Pour savoir quelles questions ont été prises en compte dans le calcul de cette note, prière de vous référer à la colonne </t>
    </r>
    <r>
      <rPr>
        <i/>
        <sz val="11"/>
        <color rgb="FF000000"/>
        <rFont val="Calibri"/>
        <family val="2"/>
        <scheme val="minor"/>
      </rPr>
      <t>Objectif</t>
    </r>
    <r>
      <rPr>
        <sz val="11"/>
        <color indexed="8"/>
        <rFont val="Calibri"/>
        <family val="2"/>
        <scheme val="minor"/>
      </rPr>
      <t xml:space="preserve"> du tableau ci-dessous. </t>
    </r>
    <r>
      <rPr>
        <b/>
        <sz val="11"/>
        <color rgb="FFC00000"/>
        <rFont val="Calibri"/>
        <family val="2"/>
        <scheme val="minor"/>
      </rPr>
      <t>Remarque :</t>
    </r>
    <r>
      <rPr>
        <sz val="11"/>
        <color rgb="FFC00000"/>
        <rFont val="Calibri"/>
        <family val="2"/>
        <scheme val="minor"/>
      </rPr>
      <t xml:space="preserve"> Vous trouverez tout en bas détaillant votre note un rappel de la signification des notes littérales ainsi qu'un rappel des </t>
    </r>
    <r>
      <rPr>
        <b/>
        <sz val="11"/>
        <color rgb="FFC00000"/>
        <rFont val="Calibri"/>
        <family val="2"/>
        <scheme val="minor"/>
      </rPr>
      <t>consignes</t>
    </r>
    <r>
      <rPr>
        <sz val="11"/>
        <color rgb="FFC00000"/>
        <rFont val="Calibri"/>
        <family val="2"/>
        <scheme val="minor"/>
      </rPr>
      <t xml:space="preserve"> concernant les </t>
    </r>
    <r>
      <rPr>
        <b/>
        <sz val="11"/>
        <color rgb="FFC00000"/>
        <rFont val="Calibri"/>
        <family val="2"/>
        <scheme val="minor"/>
      </rPr>
      <t>révisions de notes</t>
    </r>
    <r>
      <rPr>
        <sz val="11"/>
        <color rgb="FFC00000"/>
        <rFont val="Calibri"/>
        <family val="2"/>
        <scheme val="minor"/>
      </rPr>
      <t xml:space="preserve">, la </t>
    </r>
    <r>
      <rPr>
        <b/>
        <sz val="11"/>
        <color rgb="FFC00000"/>
        <rFont val="Calibri"/>
        <family val="2"/>
        <scheme val="minor"/>
      </rPr>
      <t>consultation des copies</t>
    </r>
    <r>
      <rPr>
        <sz val="11"/>
        <color rgb="FFC00000"/>
        <rFont val="Calibri"/>
        <family val="2"/>
        <scheme val="minor"/>
      </rPr>
      <t xml:space="preserve"> et les personnes </t>
    </r>
    <r>
      <rPr>
        <b/>
        <sz val="11"/>
        <color rgb="FFC00000"/>
        <rFont val="Calibri"/>
        <family val="2"/>
        <scheme val="minor"/>
      </rPr>
      <t>à qui poser vos questions</t>
    </r>
    <r>
      <rPr>
        <sz val="11"/>
        <color rgb="FFC00000"/>
        <rFont val="Calibri"/>
        <family val="2"/>
        <scheme val="minor"/>
      </rPr>
      <t xml:space="preserve"> en cas de besoin.</t>
    </r>
  </si>
  <si>
    <t>Dépôt ?</t>
  </si>
  <si>
    <t>Oui</t>
  </si>
  <si>
    <r>
      <rPr>
        <b/>
        <sz val="11"/>
        <rFont val="Calibri"/>
        <family val="2"/>
        <scheme val="minor"/>
      </rPr>
      <t>Objectif 1</t>
    </r>
    <r>
      <rPr>
        <b/>
        <sz val="11"/>
        <color theme="1"/>
        <rFont val="Calibri"/>
        <family val="2"/>
        <scheme val="minor"/>
      </rPr>
      <t xml:space="preserve"> - </t>
    </r>
    <r>
      <rPr>
        <b/>
        <sz val="11"/>
        <color rgb="FFC00000"/>
        <rFont val="Calibri"/>
        <family val="2"/>
        <scheme val="minor"/>
      </rPr>
      <t xml:space="preserve">Noté en lettre directement </t>
    </r>
    <r>
      <rPr>
        <b/>
        <sz val="11"/>
        <color theme="1"/>
        <rFont val="Calibri"/>
        <family val="2"/>
        <scheme val="minor"/>
      </rPr>
      <t xml:space="preserve">: </t>
    </r>
    <r>
      <rPr>
        <sz val="11"/>
        <color theme="1"/>
        <rFont val="Calibri"/>
        <family val="2"/>
        <scheme val="minor"/>
      </rPr>
      <t xml:space="preserve">À la fin du cours, l'étudiant.e est capable, dans un contexte de gestion, d'appliquer des méthodes quantitatives, notamment de développer un modèle, en justifiant les choix méthodologiques, et d'utiliser le logiciel Excel pour produire des résultats utiles.
</t>
    </r>
    <r>
      <rPr>
        <b/>
        <sz val="11"/>
        <rFont val="Calibri"/>
        <family val="2"/>
        <scheme val="minor"/>
      </rPr>
      <t xml:space="preserve">Objectif 2 - </t>
    </r>
    <r>
      <rPr>
        <b/>
        <sz val="11"/>
        <color rgb="FFC00000"/>
        <rFont val="Calibri"/>
        <family val="2"/>
        <scheme val="minor"/>
      </rPr>
      <t xml:space="preserve">Noté en lettre directement </t>
    </r>
    <r>
      <rPr>
        <b/>
        <sz val="11"/>
        <color theme="1"/>
        <rFont val="Calibri"/>
        <family val="2"/>
        <scheme val="minor"/>
      </rPr>
      <t>:</t>
    </r>
    <r>
      <rPr>
        <b/>
        <sz val="11"/>
        <color rgb="FFC00000"/>
        <rFont val="Calibri"/>
        <family val="2"/>
        <scheme val="minor"/>
      </rPr>
      <t xml:space="preserve"> </t>
    </r>
    <r>
      <rPr>
        <sz val="11"/>
        <color theme="1"/>
        <rFont val="Calibri"/>
        <family val="2"/>
        <scheme val="minor"/>
      </rPr>
      <t xml:space="preserve">À la fin du cours l'étudiant.e est capable d’interpréter et d’analyser correctement les résultats obtenus, suite à l’application de méthodes quantitatives, et d'en tirer des constats et recommandations utiles au processus de décision en gestion, en reconnaissant les points forts et les limites de sa démarche.
</t>
    </r>
    <r>
      <rPr>
        <b/>
        <sz val="11"/>
        <color theme="1"/>
        <rFont val="Calibri"/>
        <family val="2"/>
        <scheme val="minor"/>
      </rPr>
      <t xml:space="preserve">Objectif 3 - </t>
    </r>
    <r>
      <rPr>
        <b/>
        <sz val="11"/>
        <color rgb="FFC00000"/>
        <rFont val="Calibri"/>
        <family val="2"/>
        <scheme val="minor"/>
      </rPr>
      <t xml:space="preserve">Noté en lettre directement </t>
    </r>
    <r>
      <rPr>
        <b/>
        <sz val="11"/>
        <color theme="1"/>
        <rFont val="Calibri"/>
        <family val="2"/>
        <scheme val="minor"/>
      </rPr>
      <t xml:space="preserve">: </t>
    </r>
    <r>
      <rPr>
        <sz val="11"/>
        <color theme="1"/>
        <rFont val="Calibri"/>
        <family val="2"/>
        <scheme val="minor"/>
      </rPr>
      <t xml:space="preserve">À la fin du cours l'étudiant.e est capable de rédiger un rapport professionnel et rigoureux pour communiquer des constats et recommandations, en exposant les arguments quantitatifs qui les soutiennent, dans un langage clair et accessible. </t>
    </r>
  </si>
  <si>
    <t>Informations pour la note</t>
  </si>
  <si>
    <r>
      <t xml:space="preserve">Lettre
</t>
    </r>
    <r>
      <rPr>
        <i/>
        <sz val="8"/>
        <color rgb="FF9C0006"/>
        <rFont val="Calibri"/>
        <family val="2"/>
        <scheme val="minor"/>
      </rPr>
      <t>(sans pénalités)</t>
    </r>
  </si>
  <si>
    <r>
      <t xml:space="preserve">Lettre
</t>
    </r>
    <r>
      <rPr>
        <i/>
        <sz val="8"/>
        <color rgb="FF9C0006"/>
        <rFont val="Calibri"/>
        <family val="2"/>
        <scheme val="minor"/>
      </rPr>
      <t>(avec pénalités)</t>
    </r>
  </si>
  <si>
    <t>Objectif</t>
  </si>
  <si>
    <t>Aspect évalué</t>
  </si>
  <si>
    <t>Poids</t>
  </si>
  <si>
    <t>Modélisation</t>
  </si>
  <si>
    <t>Analyses</t>
  </si>
  <si>
    <t>B+</t>
  </si>
  <si>
    <t>Rédaction et présentation</t>
  </si>
  <si>
    <t>T</t>
  </si>
  <si>
    <t>Lettre pour l'ensemble du rapport</t>
  </si>
  <si>
    <t>C-</t>
  </si>
  <si>
    <t>Sujet</t>
  </si>
  <si>
    <t>Étoiles</t>
  </si>
  <si>
    <t>Échelle</t>
  </si>
  <si>
    <t>Étiquette uniformisée</t>
  </si>
  <si>
    <t>Commentaires</t>
  </si>
  <si>
    <t>Modélisation, mise en œuvre du modèle et calcul des résultats</t>
  </si>
  <si>
    <t>Justesse des modèles Excel</t>
  </si>
  <si>
    <t>Modèle mathématique - Contraintes, calculs intermédiaires et FO</t>
  </si>
  <si>
    <t>Solveur et cohérence avec la méthodologie</t>
  </si>
  <si>
    <t>Autre(s) option(s)</t>
  </si>
  <si>
    <t>Annexe 2</t>
  </si>
  <si>
    <t>Méthodologie (Optimisation)</t>
  </si>
  <si>
    <t>Présence du nombre minimum d'indicateurs et calculs adéquats dans l'annexe</t>
  </si>
  <si>
    <t>Analyse des résultats et conclusions/recommandations</t>
  </si>
  <si>
    <t>Qualité du traitement de l'information et de l'analyse</t>
  </si>
  <si>
    <t>Qualité et profondeur de la discussion et des conclusions</t>
  </si>
  <si>
    <t>5. Excellente discussion, dont la qualité et la profondeur satisfont pleinement les exigences.</t>
  </si>
  <si>
    <t>★★★★★Répond très bien à toutes les attentes</t>
  </si>
  <si>
    <t>Apport des tableaux et graphiques</t>
  </si>
  <si>
    <t>3. La majorité des tableaux et graphiques transmettent de l'information utile et sont discutés dans le texte pour (au moins) certains d'entre eux.</t>
  </si>
  <si>
    <t>★★★ Répond de façon satisfaisante à la plupart des attentes</t>
  </si>
  <si>
    <t>Mauvais choix sur le graphique 2.</t>
  </si>
  <si>
    <t>Professionnalisme du rapport et des annexes</t>
  </si>
  <si>
    <t>Structure du rapport et langage utilisé</t>
  </si>
  <si>
    <t>Sommaire exécutif</t>
  </si>
  <si>
    <t xml:space="preserve">5. Le sommaire exécutif résume bien les conclusions/recommandations importantes, la nature du mandat et de façon générale les informations cruciales. </t>
  </si>
  <si>
    <t>Bravo pour le sommaire exécutif!</t>
  </si>
  <si>
    <t>Présence et qualité de l'introduction et de la conclusion</t>
  </si>
  <si>
    <t>5. Le rapport contient une introduction qui présente adéquatement le plan du rapport et une conclusion qui résume adéquatement la ou les recommandations principales.</t>
  </si>
  <si>
    <t>Titres de sections appropriés pour un rapport de consultation</t>
  </si>
  <si>
    <t>4. Tous les titres de sections sont un bon indicateur de leur contenu, mais certains d'entre eux devraient être retravaillés pour être plus significatifs pour le client.</t>
  </si>
  <si>
    <t>★★★★ Répond bien à la majorité des attentes</t>
  </si>
  <si>
    <t xml:space="preserve">"Évolution des profits" pourrait être amélioré </t>
  </si>
  <si>
    <t>Niveau de langage approprié pour s'adresser au client (hors titres et méthodologie)</t>
  </si>
  <si>
    <t>5. Vocabulaire approprié pour se faire bien comprendre du client (non-initié) tout au long du texte.</t>
  </si>
  <si>
    <t>Qualité de la présentation</t>
  </si>
  <si>
    <t>Orthographe et soin dans la présentation du rapport</t>
  </si>
  <si>
    <t>5. Présentation soignée : rapport propre et langue de qualité (pas plus de quelques coquilles très occasionnelles).</t>
  </si>
  <si>
    <t>Qualité de la présentation des tableaux et graphiques</t>
  </si>
  <si>
    <t>2. Présentation à retravailler. Plusieurs aspects importants ont été négligés (ex. titre, identification des axes, légende, lisibilité, etc.) dans plusieurs tableaux/graphiques.</t>
  </si>
  <si>
    <t>★★ Répond de façon passable à la plupart des attentes</t>
  </si>
  <si>
    <t>Il manque les titres des axes +  les titres des tableaux</t>
  </si>
  <si>
    <t>Qualité de la présentation formelle du modèle mathématique en annexe</t>
  </si>
  <si>
    <t>Organisation de l'information dans le fichier Excel</t>
  </si>
  <si>
    <r>
      <t xml:space="preserve">Pénalités </t>
    </r>
    <r>
      <rPr>
        <sz val="11"/>
        <color rgb="FF9C0006"/>
        <rFont val="Calibri"/>
        <family val="2"/>
        <scheme val="minor"/>
      </rPr>
      <t>(Par objectif)</t>
    </r>
  </si>
  <si>
    <t>Pénalité</t>
  </si>
  <si>
    <t>Sur</t>
  </si>
  <si>
    <t>Feuille identification mal remplie</t>
  </si>
  <si>
    <t>Objectif 1</t>
  </si>
  <si>
    <t>Dépassement pour le rapport</t>
  </si>
  <si>
    <t>Objectif 2</t>
  </si>
  <si>
    <t>1. Dépassement de quelques lignes à 1/4 de page.</t>
  </si>
  <si>
    <t>Dépassement pour l'annexe</t>
  </si>
  <si>
    <t>Objectif 3</t>
  </si>
  <si>
    <t>Retard pour le fichier Excel uniquement</t>
  </si>
  <si>
    <r>
      <t xml:space="preserve">Pénalité </t>
    </r>
    <r>
      <rPr>
        <sz val="11"/>
        <color rgb="FF9C0006"/>
        <rFont val="Calibri"/>
        <family val="2"/>
        <scheme val="minor"/>
      </rPr>
      <t>(Note totale)</t>
    </r>
  </si>
  <si>
    <r>
      <t xml:space="preserve">Retard pour le rapport </t>
    </r>
    <r>
      <rPr>
        <i/>
        <sz val="11"/>
        <color theme="1"/>
        <rFont val="Calibri"/>
        <family val="2"/>
        <scheme val="minor"/>
      </rPr>
      <t>(incluant ou non un retard du fichier Excel)</t>
    </r>
  </si>
  <si>
    <r>
      <t xml:space="preserve">Autres pénalités </t>
    </r>
    <r>
      <rPr>
        <sz val="11"/>
        <color rgb="FF9C0006"/>
        <rFont val="Calibri"/>
        <family val="2"/>
        <scheme val="minor"/>
      </rPr>
      <t>(Par objectif)</t>
    </r>
  </si>
  <si>
    <t>Autres pénalités - Objectif 1</t>
  </si>
  <si>
    <t>Autres pénalités - Objectif 2</t>
  </si>
  <si>
    <t>Autres pénalités - Objectif 3</t>
  </si>
  <si>
    <t>Objectifs 1 à 3 - Notés en lettre dans le tableau d'en haut</t>
  </si>
  <si>
    <t>Révision de note</t>
  </si>
  <si>
    <t>Lettre</t>
  </si>
  <si>
    <t>Valeur</t>
  </si>
  <si>
    <t>Description générale du niveau d’atteinte des objectifs</t>
  </si>
  <si>
    <r>
      <t xml:space="preserve">Le barème de correction utilisé est </t>
    </r>
    <r>
      <rPr>
        <b/>
        <sz val="11"/>
        <color rgb="FF9C0006"/>
        <rFont val="Calibri"/>
        <family val="2"/>
        <scheme val="minor"/>
      </rPr>
      <t>le même pour tous.tes les étudiant.e.s suivant le cours.</t>
    </r>
    <r>
      <rPr>
        <sz val="11"/>
        <color rgb="FF9C0006"/>
        <rFont val="Calibri"/>
        <family val="2"/>
        <scheme val="minor"/>
      </rPr>
      <t xml:space="preserve"> </t>
    </r>
    <r>
      <rPr>
        <b/>
        <sz val="11"/>
        <color rgb="FF9C0006"/>
        <rFont val="Calibri"/>
        <family val="2"/>
        <scheme val="minor"/>
      </rPr>
      <t>Aucune recorrection ne sera effectuée sur votre copie</t>
    </r>
    <r>
      <rPr>
        <sz val="11"/>
        <color rgb="FF9C0006"/>
        <rFont val="Calibri"/>
        <family val="2"/>
        <scheme val="minor"/>
      </rPr>
      <t xml:space="preserve"> </t>
    </r>
    <r>
      <rPr>
        <i/>
        <sz val="11"/>
        <color rgb="FF9C0006"/>
        <rFont val="Calibri"/>
        <family val="2"/>
        <scheme val="minor"/>
      </rPr>
      <t>(à moins d'une erreur évidemment)</t>
    </r>
    <r>
      <rPr>
        <sz val="11"/>
        <color rgb="FF9C0006"/>
        <rFont val="Calibri"/>
        <family val="2"/>
        <scheme val="minor"/>
      </rPr>
      <t xml:space="preserve">. Étant donné la quantité importante d'étudiant.e.s suivant le cours, il y aura toujours certain.e.s d'entre vous qui seront « proches » d’une meilleure note. Toutefois ce barème a été établi en prenant en considération plusieurs facteurs, notamment la grille officielle de l'école fournie ci-contre </t>
    </r>
    <r>
      <rPr>
        <i/>
        <sz val="11"/>
        <color rgb="FF9C0006"/>
        <rFont val="Calibri"/>
        <family val="2"/>
        <scheme val="minor"/>
      </rPr>
      <t>(voir tableau à droite)</t>
    </r>
    <r>
      <rPr>
        <sz val="11"/>
        <color rgb="FF9C0006"/>
        <rFont val="Calibri"/>
        <family val="2"/>
        <scheme val="minor"/>
      </rPr>
      <t xml:space="preserve">. </t>
    </r>
    <r>
      <rPr>
        <b/>
        <sz val="11"/>
        <color rgb="FF9C0006"/>
        <rFont val="Calibri"/>
        <family val="2"/>
        <scheme val="minor"/>
      </rPr>
      <t xml:space="preserve">Ainsi tout motif du type </t>
    </r>
    <r>
      <rPr>
        <sz val="11"/>
        <color rgb="FF9C0006"/>
        <rFont val="Calibri"/>
        <family val="2"/>
        <scheme val="minor"/>
      </rPr>
      <t>"</t>
    </r>
    <r>
      <rPr>
        <i/>
        <sz val="11"/>
        <color rgb="FF9C0006"/>
        <rFont val="Calibri"/>
        <family val="2"/>
        <scheme val="minor"/>
      </rPr>
      <t>penser mériter mieux", "n'avoir besoin que de quelques points supplémentaires pour obtenir une meilleure lettre", etc.,</t>
    </r>
    <r>
      <rPr>
        <b/>
        <sz val="11"/>
        <color rgb="FF9C0006"/>
        <rFont val="Calibri"/>
        <family val="2"/>
        <scheme val="minor"/>
      </rPr>
      <t xml:space="preserve"> sera jugé non valable.</t>
    </r>
  </si>
  <si>
    <t>ES</t>
  </si>
  <si>
    <t>---</t>
  </si>
  <si>
    <t>Exigences satisfaites</t>
  </si>
  <si>
    <t>Absence d’évaluation</t>
  </si>
  <si>
    <r>
      <t>Ne répond pas à la plupart des attentes</t>
    </r>
    <r>
      <rPr>
        <sz val="10"/>
        <color theme="0"/>
        <rFont val="Calibri"/>
        <family val="2"/>
        <scheme val="minor"/>
      </rPr>
      <t xml:space="preserve"> en lien avec les objectifs d’apprentissage.</t>
    </r>
  </si>
  <si>
    <r>
      <t xml:space="preserve">Ne maîtrise pas la plupart </t>
    </r>
    <r>
      <rPr>
        <sz val="10"/>
        <color theme="0"/>
        <rFont val="Calibri"/>
        <family val="2"/>
        <scheme val="minor"/>
      </rPr>
      <t>des contenus, habiletés et compétences visés.</t>
    </r>
    <r>
      <rPr>
        <b/>
        <sz val="10"/>
        <color theme="0"/>
        <rFont val="Calibri"/>
        <family val="2"/>
        <scheme val="minor"/>
      </rPr>
      <t xml:space="preserve"> </t>
    </r>
  </si>
  <si>
    <t>1,0</t>
  </si>
  <si>
    <r>
      <t xml:space="preserve">Répond de façon limitée à la </t>
    </r>
    <r>
      <rPr>
        <b/>
        <u/>
        <sz val="10"/>
        <color theme="0"/>
        <rFont val="Calibri"/>
        <family val="2"/>
        <scheme val="minor"/>
      </rPr>
      <t>plupart</t>
    </r>
    <r>
      <rPr>
        <b/>
        <sz val="10"/>
        <color theme="0"/>
        <rFont val="Calibri"/>
        <family val="2"/>
        <scheme val="minor"/>
      </rPr>
      <t xml:space="preserve"> des attentes</t>
    </r>
    <r>
      <rPr>
        <sz val="10"/>
        <color theme="0"/>
        <rFont val="Calibri"/>
        <family val="2"/>
        <scheme val="minor"/>
      </rPr>
      <t xml:space="preserve"> en lien avec les objectifs d’apprentissage. </t>
    </r>
  </si>
  <si>
    <r>
      <t xml:space="preserve">Démontre une </t>
    </r>
    <r>
      <rPr>
        <b/>
        <sz val="10"/>
        <color theme="0"/>
        <rFont val="Calibri"/>
        <family val="2"/>
        <scheme val="minor"/>
      </rPr>
      <t>maîtrise limitée</t>
    </r>
    <r>
      <rPr>
        <sz val="10"/>
        <color theme="0"/>
        <rFont val="Calibri"/>
        <family val="2"/>
        <scheme val="minor"/>
      </rPr>
      <t xml:space="preserve"> de la plupart des contenus, habiletés et compétences visés. </t>
    </r>
  </si>
  <si>
    <t>D+</t>
  </si>
  <si>
    <t>1,3</t>
  </si>
  <si>
    <r>
      <t xml:space="preserve">Répond de façon passable à la </t>
    </r>
    <r>
      <rPr>
        <b/>
        <u/>
        <sz val="10"/>
        <color rgb="FF9C0006"/>
        <rFont val="Calibri"/>
        <family val="2"/>
        <scheme val="minor"/>
      </rPr>
      <t>plupart</t>
    </r>
    <r>
      <rPr>
        <b/>
        <sz val="10"/>
        <color rgb="FF9C0006"/>
        <rFont val="Calibri"/>
        <family val="2"/>
        <scheme val="minor"/>
      </rPr>
      <t xml:space="preserve"> des attentes</t>
    </r>
    <r>
      <rPr>
        <sz val="10"/>
        <color rgb="FF9C0006"/>
        <rFont val="Calibri"/>
        <family val="2"/>
        <scheme val="minor"/>
      </rPr>
      <t xml:space="preserve"> en lien avec les objectifs d’apprentissage. </t>
    </r>
  </si>
  <si>
    <r>
      <t xml:space="preserve">Démontre une </t>
    </r>
    <r>
      <rPr>
        <b/>
        <sz val="10"/>
        <color rgb="FF9C0006"/>
        <rFont val="Calibri"/>
        <family val="2"/>
        <scheme val="minor"/>
      </rPr>
      <t>maîtrise passable</t>
    </r>
    <r>
      <rPr>
        <sz val="10"/>
        <color rgb="FF9C0006"/>
        <rFont val="Calibri"/>
        <family val="2"/>
        <scheme val="minor"/>
      </rPr>
      <t xml:space="preserve"> de la plupart des contenus, habiletés et compétences visés. </t>
    </r>
  </si>
  <si>
    <t>Consultation des copies / Questions de compréhension</t>
  </si>
  <si>
    <t>1,7</t>
  </si>
  <si>
    <r>
      <t xml:space="preserve">Répond de façon assez satisfaisante à la </t>
    </r>
    <r>
      <rPr>
        <b/>
        <u/>
        <sz val="10"/>
        <color rgb="FF3F3F76"/>
        <rFont val="Calibri"/>
        <family val="2"/>
        <scheme val="minor"/>
      </rPr>
      <t>plupart</t>
    </r>
    <r>
      <rPr>
        <b/>
        <sz val="10"/>
        <color rgb="FF3F3F76"/>
        <rFont val="Calibri"/>
        <family val="2"/>
        <scheme val="minor"/>
      </rPr>
      <t xml:space="preserve"> des attentes</t>
    </r>
    <r>
      <rPr>
        <sz val="10"/>
        <color rgb="FF3F3F76"/>
        <rFont val="Calibri"/>
        <family val="2"/>
        <scheme val="minor"/>
      </rPr>
      <t xml:space="preserve"> en lien avec les objectifs d’apprentissage. </t>
    </r>
  </si>
  <si>
    <r>
      <t xml:space="preserve">Démontre une </t>
    </r>
    <r>
      <rPr>
        <b/>
        <sz val="10"/>
        <color rgb="FF3F3F76"/>
        <rFont val="Calibri"/>
        <family val="2"/>
        <scheme val="minor"/>
      </rPr>
      <t xml:space="preserve">maîtrise assez satisfaisante de la plupart </t>
    </r>
    <r>
      <rPr>
        <sz val="10"/>
        <color rgb="FF3F3F76"/>
        <rFont val="Calibri"/>
        <family val="2"/>
        <scheme val="minor"/>
      </rPr>
      <t xml:space="preserve">des contenus, habiletés et compétences visés. </t>
    </r>
  </si>
  <si>
    <r>
      <t xml:space="preserve">Vos copies Excel et Word / PDF vous ont été remises via ZoneCours, vous avez ainsi accès à toutes les informations relatives à la correction </t>
    </r>
    <r>
      <rPr>
        <i/>
        <sz val="11"/>
        <color rgb="FF9C5700"/>
        <rFont val="Calibri"/>
        <family val="2"/>
        <scheme val="minor"/>
      </rPr>
      <t>(à travers les commentaires laissés dans la grille de correction et/ou les commentaires laissés dans votre fichier Word / PDF)</t>
    </r>
    <r>
      <rPr>
        <sz val="11"/>
        <color rgb="FF9C5700"/>
        <rFont val="Calibri"/>
        <family val="2"/>
        <scheme val="minor"/>
      </rPr>
      <t>. Si vous avez des questions concernant toutes les questions en lien avec la modélisation, vous pouvez poser vos questions aux auxiliaires ou à votre enseignant. Si vous avez des questions sur les analyses et/ou la rédaction, vous devez poser vos questions à votre enseignant.</t>
    </r>
  </si>
  <si>
    <t>C***</t>
  </si>
  <si>
    <r>
      <rPr>
        <b/>
        <sz val="10"/>
        <color rgb="FFFFCC99"/>
        <rFont val="Calibri (Body)"/>
      </rPr>
      <t>***</t>
    </r>
    <r>
      <rPr>
        <b/>
        <sz val="10"/>
        <color rgb="FF3F3F76"/>
        <rFont val="Calibri"/>
        <family val="2"/>
        <scheme val="minor"/>
      </rPr>
      <t>2,0***</t>
    </r>
  </si>
  <si>
    <r>
      <t xml:space="preserve">Répond de façon satisfaisante à la </t>
    </r>
    <r>
      <rPr>
        <b/>
        <u/>
        <sz val="10"/>
        <color rgb="FF3F3F76"/>
        <rFont val="Calibri"/>
        <family val="2"/>
        <scheme val="minor"/>
      </rPr>
      <t>plupart</t>
    </r>
    <r>
      <rPr>
        <b/>
        <sz val="10"/>
        <color rgb="FF3F3F76"/>
        <rFont val="Calibri"/>
        <family val="2"/>
        <scheme val="minor"/>
      </rPr>
      <t xml:space="preserve"> des attentes</t>
    </r>
    <r>
      <rPr>
        <sz val="10"/>
        <color rgb="FF3F3F76"/>
        <rFont val="Calibri"/>
        <family val="2"/>
        <scheme val="minor"/>
      </rPr>
      <t xml:space="preserve"> en lien avec les objectifs d’apprentissage. </t>
    </r>
  </si>
  <si>
    <r>
      <t xml:space="preserve">Démontre une </t>
    </r>
    <r>
      <rPr>
        <b/>
        <sz val="10"/>
        <color rgb="FF3F3F76"/>
        <rFont val="Calibri"/>
        <family val="2"/>
        <scheme val="minor"/>
      </rPr>
      <t>maîtrise satisfaisante</t>
    </r>
    <r>
      <rPr>
        <sz val="10"/>
        <color rgb="FF3F3F76"/>
        <rFont val="Calibri"/>
        <family val="2"/>
        <scheme val="minor"/>
      </rPr>
      <t xml:space="preserve"> de la plupart des contenus, habiletés et compétences visés. </t>
    </r>
  </si>
  <si>
    <t>C+</t>
  </si>
  <si>
    <t>2,3</t>
  </si>
  <si>
    <r>
      <t xml:space="preserve">Répond assez bien à la </t>
    </r>
    <r>
      <rPr>
        <b/>
        <u/>
        <sz val="10"/>
        <color rgb="FF3F3F76"/>
        <rFont val="Calibri"/>
        <family val="2"/>
        <scheme val="minor"/>
      </rPr>
      <t>plupart</t>
    </r>
    <r>
      <rPr>
        <b/>
        <sz val="10"/>
        <color rgb="FF3F3F76"/>
        <rFont val="Calibri"/>
        <family val="2"/>
        <scheme val="minor"/>
      </rPr>
      <t xml:space="preserve"> des attentes</t>
    </r>
    <r>
      <rPr>
        <sz val="10"/>
        <color rgb="FF3F3F76"/>
        <rFont val="Calibri"/>
        <family val="2"/>
        <scheme val="minor"/>
      </rPr>
      <t xml:space="preserve"> en lien avec les objectifs d’apprentissage. </t>
    </r>
  </si>
  <si>
    <r>
      <t xml:space="preserve">Démontre une </t>
    </r>
    <r>
      <rPr>
        <b/>
        <sz val="10"/>
        <color rgb="FF3F3F76"/>
        <rFont val="Calibri"/>
        <family val="2"/>
        <scheme val="minor"/>
      </rPr>
      <t>maîtrise assez bonne</t>
    </r>
    <r>
      <rPr>
        <sz val="10"/>
        <color rgb="FF3F3F76"/>
        <rFont val="Calibri"/>
        <family val="2"/>
        <scheme val="minor"/>
      </rPr>
      <t xml:space="preserve"> de la plupart des contenus, habiletés et compétences visés.</t>
    </r>
  </si>
  <si>
    <t>B-</t>
  </si>
  <si>
    <t>2,7</t>
  </si>
  <si>
    <r>
      <t xml:space="preserve">Répond assez bien à la </t>
    </r>
    <r>
      <rPr>
        <b/>
        <u/>
        <sz val="10"/>
        <color rgb="FF9C5700"/>
        <rFont val="Calibri"/>
        <family val="2"/>
        <scheme val="minor"/>
      </rPr>
      <t>majorité</t>
    </r>
    <r>
      <rPr>
        <b/>
        <sz val="10"/>
        <color rgb="FF9C5700"/>
        <rFont val="Calibri"/>
        <family val="2"/>
        <scheme val="minor"/>
      </rPr>
      <t xml:space="preserve"> des attentes</t>
    </r>
    <r>
      <rPr>
        <sz val="10"/>
        <color rgb="FF9C5700"/>
        <rFont val="Calibri"/>
        <family val="2"/>
        <scheme val="minor"/>
      </rPr>
      <t xml:space="preserve"> en lien avec les objectifs d’apprentissage. </t>
    </r>
  </si>
  <si>
    <r>
      <t xml:space="preserve">Démontre une </t>
    </r>
    <r>
      <rPr>
        <b/>
        <sz val="10"/>
        <color rgb="FF9C5700"/>
        <rFont val="Calibri"/>
        <family val="2"/>
        <scheme val="minor"/>
      </rPr>
      <t>assez bonne</t>
    </r>
    <r>
      <rPr>
        <sz val="10"/>
        <color rgb="FF9C5700"/>
        <rFont val="Calibri"/>
        <family val="2"/>
        <scheme val="minor"/>
      </rPr>
      <t xml:space="preserve"> </t>
    </r>
    <r>
      <rPr>
        <b/>
        <sz val="10"/>
        <color rgb="FF9C5700"/>
        <rFont val="Calibri"/>
        <family val="2"/>
        <scheme val="minor"/>
      </rPr>
      <t>maîtrise de la majorité</t>
    </r>
    <r>
      <rPr>
        <sz val="10"/>
        <color rgb="FF9C5700"/>
        <rFont val="Calibri"/>
        <family val="2"/>
        <scheme val="minor"/>
      </rPr>
      <t xml:space="preserve"> du contenu, des habiletés et des compétences visés.</t>
    </r>
  </si>
  <si>
    <t>3,0</t>
  </si>
  <si>
    <r>
      <t xml:space="preserve">Répond bien à la </t>
    </r>
    <r>
      <rPr>
        <b/>
        <u/>
        <sz val="10"/>
        <color rgb="FF9C5700"/>
        <rFont val="Calibri"/>
        <family val="2"/>
        <scheme val="minor"/>
      </rPr>
      <t>majorité</t>
    </r>
    <r>
      <rPr>
        <b/>
        <sz val="10"/>
        <color rgb="FF9C5700"/>
        <rFont val="Calibri"/>
        <family val="2"/>
        <scheme val="minor"/>
      </rPr>
      <t xml:space="preserve"> des attentes</t>
    </r>
    <r>
      <rPr>
        <sz val="10"/>
        <color rgb="FF9C5700"/>
        <rFont val="Calibri"/>
        <family val="2"/>
        <scheme val="minor"/>
      </rPr>
      <t xml:space="preserve"> en lien avec les objectifs d’apprentissage. </t>
    </r>
  </si>
  <si>
    <r>
      <t xml:space="preserve">Démontre une </t>
    </r>
    <r>
      <rPr>
        <b/>
        <sz val="10"/>
        <color rgb="FF9C5700"/>
        <rFont val="Calibri"/>
        <family val="2"/>
        <scheme val="minor"/>
      </rPr>
      <t>bonne maîtrise</t>
    </r>
    <r>
      <rPr>
        <sz val="10"/>
        <color rgb="FF9C5700"/>
        <rFont val="Calibri"/>
        <family val="2"/>
        <scheme val="minor"/>
      </rPr>
      <t xml:space="preserve"> </t>
    </r>
    <r>
      <rPr>
        <b/>
        <sz val="10"/>
        <color rgb="FF9C5700"/>
        <rFont val="Calibri"/>
        <family val="2"/>
        <scheme val="minor"/>
      </rPr>
      <t>de la majorité</t>
    </r>
    <r>
      <rPr>
        <sz val="10"/>
        <color rgb="FF9C5700"/>
        <rFont val="Calibri"/>
        <family val="2"/>
        <scheme val="minor"/>
      </rPr>
      <t xml:space="preserve"> du contenu, des habiletés et des compétences visés. </t>
    </r>
  </si>
  <si>
    <t>3,3</t>
  </si>
  <si>
    <r>
      <t xml:space="preserve">Répond très bien à la </t>
    </r>
    <r>
      <rPr>
        <b/>
        <u/>
        <sz val="10"/>
        <color rgb="FF9C5700"/>
        <rFont val="Calibri"/>
        <family val="2"/>
        <scheme val="minor"/>
      </rPr>
      <t>majorité</t>
    </r>
    <r>
      <rPr>
        <b/>
        <sz val="10"/>
        <color rgb="FF9C5700"/>
        <rFont val="Calibri"/>
        <family val="2"/>
        <scheme val="minor"/>
      </rPr>
      <t xml:space="preserve"> des attentes</t>
    </r>
    <r>
      <rPr>
        <sz val="10"/>
        <color rgb="FF9C5700"/>
        <rFont val="Calibri"/>
        <family val="2"/>
        <scheme val="minor"/>
      </rPr>
      <t xml:space="preserve"> en lien avec les objectifs d’apprentissage. </t>
    </r>
  </si>
  <si>
    <r>
      <t xml:space="preserve">Démontre une </t>
    </r>
    <r>
      <rPr>
        <b/>
        <sz val="10"/>
        <color rgb="FF9C5700"/>
        <rFont val="Calibri"/>
        <family val="2"/>
        <scheme val="minor"/>
      </rPr>
      <t>très bonne maîtrise de la majorité</t>
    </r>
    <r>
      <rPr>
        <sz val="10"/>
        <color rgb="FF9C5700"/>
        <rFont val="Calibri"/>
        <family val="2"/>
        <scheme val="minor"/>
      </rPr>
      <t xml:space="preserve"> du contenu, des habiletés et des compétences visés.</t>
    </r>
  </si>
  <si>
    <t>A-</t>
  </si>
  <si>
    <t>3,7</t>
  </si>
  <si>
    <r>
      <t xml:space="preserve">Répond très bien à </t>
    </r>
    <r>
      <rPr>
        <b/>
        <u/>
        <sz val="10"/>
        <color rgb="FF006100"/>
        <rFont val="Calibri"/>
        <family val="2"/>
        <scheme val="minor"/>
      </rPr>
      <t>toutes</t>
    </r>
    <r>
      <rPr>
        <b/>
        <sz val="10"/>
        <color rgb="FF006100"/>
        <rFont val="Calibri"/>
        <family val="2"/>
        <scheme val="minor"/>
      </rPr>
      <t xml:space="preserve"> les attentes</t>
    </r>
    <r>
      <rPr>
        <sz val="10"/>
        <color rgb="FF006100"/>
        <rFont val="Calibri"/>
        <family val="2"/>
        <scheme val="minor"/>
      </rPr>
      <t xml:space="preserve"> en lien avec les objectifs d’apprentissage. </t>
    </r>
  </si>
  <si>
    <r>
      <t xml:space="preserve">Démontre une </t>
    </r>
    <r>
      <rPr>
        <b/>
        <sz val="10"/>
        <color rgb="FF006100"/>
        <rFont val="Calibri"/>
        <family val="2"/>
        <scheme val="minor"/>
      </rPr>
      <t>très bonne maîtrise</t>
    </r>
    <r>
      <rPr>
        <sz val="10"/>
        <color rgb="FF006100"/>
        <rFont val="Calibri"/>
        <family val="2"/>
        <scheme val="minor"/>
      </rPr>
      <t xml:space="preserve"> du contenu, des habiletés et des compétences visés.</t>
    </r>
  </si>
  <si>
    <t>4,0</t>
  </si>
  <si>
    <r>
      <t xml:space="preserve">Répond nettement à </t>
    </r>
    <r>
      <rPr>
        <b/>
        <u/>
        <sz val="10"/>
        <color rgb="FF006100"/>
        <rFont val="Calibri"/>
        <family val="2"/>
        <scheme val="minor"/>
      </rPr>
      <t>toutes</t>
    </r>
    <r>
      <rPr>
        <b/>
        <sz val="10"/>
        <color rgb="FF006100"/>
        <rFont val="Calibri"/>
        <family val="2"/>
        <scheme val="minor"/>
      </rPr>
      <t xml:space="preserve"> les attentes</t>
    </r>
    <r>
      <rPr>
        <sz val="10"/>
        <color rgb="FF006100"/>
        <rFont val="Calibri"/>
        <family val="2"/>
        <scheme val="minor"/>
      </rPr>
      <t xml:space="preserve"> en lien avec les objectifs d’apprentissage. </t>
    </r>
  </si>
  <si>
    <r>
      <t xml:space="preserve">Démontre une </t>
    </r>
    <r>
      <rPr>
        <b/>
        <sz val="10"/>
        <color rgb="FF006100"/>
        <rFont val="Calibri"/>
        <family val="2"/>
        <scheme val="minor"/>
      </rPr>
      <t>excellente maîtrise</t>
    </r>
    <r>
      <rPr>
        <sz val="10"/>
        <color rgb="FF006100"/>
        <rFont val="Calibri"/>
        <family val="2"/>
        <scheme val="minor"/>
      </rPr>
      <t xml:space="preserve"> du contenu, des habiletés et des compétences visés. </t>
    </r>
  </si>
  <si>
    <t>A+</t>
  </si>
  <si>
    <t>4,3</t>
  </si>
  <si>
    <r>
      <t xml:space="preserve">Répond nettement à </t>
    </r>
    <r>
      <rPr>
        <b/>
        <u/>
        <sz val="10"/>
        <color theme="0"/>
        <rFont val="Calibri"/>
        <family val="2"/>
        <scheme val="minor"/>
      </rPr>
      <t>toutes</t>
    </r>
    <r>
      <rPr>
        <b/>
        <sz val="10"/>
        <color theme="0"/>
        <rFont val="Calibri"/>
        <family val="2"/>
        <scheme val="minor"/>
      </rPr>
      <t xml:space="preserve"> les attentes </t>
    </r>
    <r>
      <rPr>
        <sz val="10"/>
        <color theme="0"/>
        <rFont val="Calibri"/>
        <family val="2"/>
        <scheme val="minor"/>
      </rPr>
      <t xml:space="preserve">en lien avec les objectifs d’apprentissage </t>
    </r>
    <r>
      <rPr>
        <b/>
        <sz val="10"/>
        <color theme="0"/>
        <rFont val="Calibri"/>
        <family val="2"/>
        <scheme val="minor"/>
      </rPr>
      <t>et en dépasse certaines.</t>
    </r>
    <r>
      <rPr>
        <sz val="10"/>
        <color theme="0"/>
        <rFont val="Calibri"/>
        <family val="2"/>
        <scheme val="minor"/>
      </rPr>
      <t xml:space="preserve"> </t>
    </r>
  </si>
  <si>
    <r>
      <t xml:space="preserve">Démontre une </t>
    </r>
    <r>
      <rPr>
        <b/>
        <sz val="10"/>
        <color theme="0"/>
        <rFont val="Calibri"/>
        <family val="2"/>
        <scheme val="minor"/>
      </rPr>
      <t>maîtrise exceptionnelle</t>
    </r>
    <r>
      <rPr>
        <sz val="10"/>
        <color theme="0"/>
        <rFont val="Calibri"/>
        <family val="2"/>
        <scheme val="minor"/>
      </rPr>
      <t xml:space="preserve"> du contenu, des habiletés et des compétences visés.</t>
    </r>
  </si>
  <si>
    <t>*** Moyenne cumulative minimale aux programmes de premier cycle pour poursuivre ses études et pour la diplomation.</t>
  </si>
  <si>
    <t>Q1</t>
  </si>
  <si>
    <t>Q2</t>
  </si>
  <si>
    <t>Q3</t>
  </si>
  <si>
    <t>Q5</t>
  </si>
  <si>
    <t>Q4</t>
  </si>
  <si>
    <t>Q6</t>
  </si>
  <si>
    <t>Q7</t>
  </si>
  <si>
    <t>Q8</t>
  </si>
  <si>
    <t>Q9</t>
  </si>
  <si>
    <t>Q10</t>
  </si>
  <si>
    <t>Q11</t>
  </si>
  <si>
    <t>Q12</t>
  </si>
  <si>
    <t>Q13</t>
  </si>
  <si>
    <t>Q14</t>
  </si>
  <si>
    <t>Q15</t>
  </si>
  <si>
    <t>P1</t>
  </si>
  <si>
    <t>P2</t>
  </si>
  <si>
    <t>P3</t>
  </si>
  <si>
    <t>P4</t>
  </si>
  <si>
    <t>P5</t>
  </si>
  <si>
    <t>PA1</t>
  </si>
  <si>
    <t>PA2</t>
  </si>
  <si>
    <t>PA3</t>
  </si>
  <si>
    <t>6. Tous les calculs nécessaires pour obtenir la solution optimale sont présents. Il n’y a pas d’erreurs dans le modèle.</t>
  </si>
  <si>
    <t>✪✪✪✪✪✪ Dépasse toutes les attentes</t>
  </si>
  <si>
    <t>5. Le Solveur a été configuré adéquatement. Les variables de décision, toutes les contraintes et la FO sont bien indiquées. Tous les paramètres du Solveur sont adéquats et cohérents avec la méthodologie.</t>
  </si>
  <si>
    <t>5. La ou les options alternatives ont été implantées correctement. Les calculs sont adéquats et le Solveur a été utilisé correctement.</t>
  </si>
  <si>
    <t>5. Excellente méthodologie. Tous les éléments demandés sont présents et les choix méthodologiques sont bien justifiés.</t>
  </si>
  <si>
    <t>5. Le nombre minimum d'indicateur est respecté et tous les calculs associés sont présentés adéquatement, et sans erreurs, dans l'annexe du rapport.</t>
  </si>
  <si>
    <t>4. Presque toutes les composantes du modèle sont présentées de façon relativement organisée. Le langage mathématique est assez précis pour que les calculs à effectuer soient clairs en général.</t>
  </si>
  <si>
    <t>La contrainte 4 pour l'option 2 ne suit pas un langage mathématique standard</t>
  </si>
  <si>
    <t>5. Le fichier est très bien organisé et on y retrouve tous les calculs sous-jacents aux résultats présentés dans le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</si>
</sst>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00000000"/>
    <numFmt numFmtId="165" formatCode="_-[$$-1009]* #,##0_-;\-[$$-1009]* #,##0_-;_-[$$-1009]* &quot;-&quot;??_-;_-@_-"/>
    <numFmt numFmtId="166" formatCode="_(&quot;$&quot;* #,##0_);_(&quot;$&quot;* \(#,##0\);_(&quot;$&quot;* &quot;-&quot;??_);_(@_)"/>
    <numFmt numFmtId="167" formatCode="_-[$$-409]* #,##0.00_ ;_-[$$-409]* \-#,##0.00\ ;_-[$$-409]* &quot;-&quot;??_ ;_-@_ "/>
    <numFmt numFmtId="168" formatCode="_-[$$-409]* #,##0_ ;_-[$$-409]* \-#,##0\ ;_-[$$-409]* &quot;-&quot;??_ ;_-@_ "/>
  </numFmts>
  <fonts count="58">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sz val="11"/>
      <color rgb="FF9C0006"/>
      <name val="Calibri"/>
      <family val="2"/>
      <scheme val="minor"/>
    </font>
    <font>
      <sz val="12"/>
      <color rgb="FF9C0006"/>
      <name val="Calibri"/>
      <family val="2"/>
      <scheme val="minor"/>
    </font>
    <font>
      <b/>
      <sz val="12"/>
      <color rgb="FF9C0006"/>
      <name val="Calibri"/>
      <family val="2"/>
      <scheme val="minor"/>
    </font>
    <font>
      <b/>
      <u/>
      <sz val="12"/>
      <color rgb="FF9C0006"/>
      <name val="Calibri"/>
      <family val="2"/>
      <scheme val="minor"/>
    </font>
    <font>
      <sz val="11"/>
      <color theme="1"/>
      <name val="Calibri"/>
      <family val="2"/>
      <scheme val="minor"/>
    </font>
    <font>
      <sz val="11"/>
      <color rgb="FF006100"/>
      <name val="Calibri"/>
      <family val="2"/>
      <scheme val="minor"/>
    </font>
    <font>
      <b/>
      <sz val="11"/>
      <color rgb="FF006100"/>
      <name val="Calibri"/>
      <family val="2"/>
      <scheme val="minor"/>
    </font>
    <font>
      <b/>
      <sz val="14"/>
      <color theme="0"/>
      <name val="Calibri"/>
      <family val="2"/>
      <scheme val="minor"/>
    </font>
    <font>
      <b/>
      <sz val="11"/>
      <color rgb="FFC00000"/>
      <name val="Calibri"/>
      <family val="2"/>
      <scheme val="minor"/>
    </font>
    <font>
      <b/>
      <sz val="11"/>
      <color theme="0"/>
      <name val="Calibri"/>
      <family val="2"/>
      <scheme val="minor"/>
    </font>
    <font>
      <u/>
      <sz val="11"/>
      <color theme="10"/>
      <name val="Calibri"/>
      <family val="2"/>
      <scheme val="minor"/>
    </font>
    <font>
      <u/>
      <sz val="12"/>
      <color rgb="FF9C0006"/>
      <name val="Calibri"/>
      <family val="2"/>
      <scheme val="minor"/>
    </font>
    <font>
      <sz val="11"/>
      <color rgb="FFFFFFFF"/>
      <name val="Calibri"/>
      <family val="2"/>
      <scheme val="minor"/>
    </font>
    <font>
      <b/>
      <sz val="11"/>
      <color rgb="FFFFFFFF"/>
      <name val="Calibri"/>
      <family val="2"/>
      <scheme val="minor"/>
    </font>
    <font>
      <b/>
      <sz val="11"/>
      <color theme="0" tint="-4.9989318521683403E-2"/>
      <name val="Calibri"/>
      <family val="2"/>
      <scheme val="minor"/>
    </font>
    <font>
      <sz val="8"/>
      <name val="Calibri"/>
      <family val="2"/>
      <scheme val="minor"/>
    </font>
    <font>
      <b/>
      <sz val="11"/>
      <color rgb="FFFF0000"/>
      <name val="Calibri"/>
      <family val="2"/>
      <scheme val="minor"/>
    </font>
    <font>
      <b/>
      <u/>
      <sz val="11"/>
      <color theme="1"/>
      <name val="Calibri"/>
      <family val="2"/>
      <scheme val="minor"/>
    </font>
    <font>
      <sz val="11"/>
      <name val="Calibri"/>
      <family val="2"/>
      <scheme val="minor"/>
    </font>
    <font>
      <sz val="11"/>
      <color rgb="FF9C5700"/>
      <name val="Calibri"/>
      <family val="2"/>
      <scheme val="minor"/>
    </font>
    <font>
      <sz val="11"/>
      <color rgb="FFFF0000"/>
      <name val="Calibri"/>
      <family val="2"/>
      <scheme val="minor"/>
    </font>
    <font>
      <sz val="11"/>
      <color indexed="8"/>
      <name val="Calibri"/>
      <family val="2"/>
      <scheme val="minor"/>
    </font>
    <font>
      <b/>
      <sz val="12"/>
      <color indexed="8"/>
      <name val="Calibri"/>
      <family val="2"/>
      <scheme val="minor"/>
    </font>
    <font>
      <sz val="11"/>
      <color rgb="FFC00000"/>
      <name val="Calibri"/>
      <family val="2"/>
      <scheme val="minor"/>
    </font>
    <font>
      <i/>
      <sz val="11"/>
      <color rgb="FF000000"/>
      <name val="Calibri"/>
      <family val="2"/>
      <scheme val="minor"/>
    </font>
    <font>
      <b/>
      <sz val="11"/>
      <name val="Calibri"/>
      <family val="2"/>
      <scheme val="minor"/>
    </font>
    <font>
      <i/>
      <sz val="8"/>
      <color rgb="FF9C0006"/>
      <name val="Calibri"/>
      <family val="2"/>
      <scheme val="minor"/>
    </font>
    <font>
      <b/>
      <sz val="11"/>
      <color rgb="FF9C0006"/>
      <name val="Calibri"/>
      <family val="2"/>
      <scheme val="minor"/>
    </font>
    <font>
      <i/>
      <sz val="11"/>
      <color theme="1"/>
      <name val="Calibri"/>
      <family val="2"/>
      <scheme val="minor"/>
    </font>
    <font>
      <b/>
      <sz val="12"/>
      <color theme="0"/>
      <name val="Calibri"/>
      <family val="2"/>
      <scheme val="minor"/>
    </font>
    <font>
      <b/>
      <sz val="12"/>
      <color theme="1"/>
      <name val="Calibri"/>
      <family val="2"/>
      <scheme val="minor"/>
    </font>
    <font>
      <i/>
      <sz val="11"/>
      <color rgb="FF9C0006"/>
      <name val="Calibri"/>
      <family val="2"/>
      <scheme val="minor"/>
    </font>
    <font>
      <b/>
      <sz val="10"/>
      <color rgb="FFFFFF00"/>
      <name val="Calibri"/>
      <family val="2"/>
      <scheme val="minor"/>
    </font>
    <font>
      <sz val="10"/>
      <color rgb="FFFFFF00"/>
      <name val="Calibri"/>
      <family val="2"/>
      <scheme val="minor"/>
    </font>
    <font>
      <b/>
      <sz val="10"/>
      <color theme="0"/>
      <name val="Calibri"/>
      <family val="2"/>
      <scheme val="minor"/>
    </font>
    <font>
      <sz val="10"/>
      <color theme="0"/>
      <name val="Calibri"/>
      <family val="2"/>
      <scheme val="minor"/>
    </font>
    <font>
      <b/>
      <u/>
      <sz val="10"/>
      <color theme="0"/>
      <name val="Calibri"/>
      <family val="2"/>
      <scheme val="minor"/>
    </font>
    <font>
      <b/>
      <sz val="10"/>
      <color rgb="FF9C0006"/>
      <name val="Calibri"/>
      <family val="2"/>
      <scheme val="minor"/>
    </font>
    <font>
      <b/>
      <u/>
      <sz val="10"/>
      <color rgb="FF9C0006"/>
      <name val="Calibri"/>
      <family val="2"/>
      <scheme val="minor"/>
    </font>
    <font>
      <sz val="10"/>
      <color rgb="FF9C0006"/>
      <name val="Calibri"/>
      <family val="2"/>
      <scheme val="minor"/>
    </font>
    <font>
      <b/>
      <sz val="11"/>
      <color rgb="FFFFEB9C"/>
      <name val="Calibri"/>
      <family val="2"/>
      <scheme val="minor"/>
    </font>
    <font>
      <b/>
      <sz val="10"/>
      <color rgb="FF3F3F76"/>
      <name val="Calibri"/>
      <family val="2"/>
      <scheme val="minor"/>
    </font>
    <font>
      <b/>
      <u/>
      <sz val="10"/>
      <color rgb="FF3F3F76"/>
      <name val="Calibri"/>
      <family val="2"/>
      <scheme val="minor"/>
    </font>
    <font>
      <sz val="10"/>
      <color rgb="FF3F3F76"/>
      <name val="Calibri"/>
      <family val="2"/>
      <scheme val="minor"/>
    </font>
    <font>
      <i/>
      <sz val="11"/>
      <color rgb="FF9C5700"/>
      <name val="Calibri"/>
      <family val="2"/>
      <scheme val="minor"/>
    </font>
    <font>
      <b/>
      <sz val="10"/>
      <color rgb="FFFFCC99"/>
      <name val="Calibri (Body)"/>
    </font>
    <font>
      <b/>
      <sz val="10"/>
      <color rgb="FF9C5700"/>
      <name val="Calibri"/>
      <family val="2"/>
      <scheme val="minor"/>
    </font>
    <font>
      <b/>
      <u/>
      <sz val="10"/>
      <color rgb="FF9C5700"/>
      <name val="Calibri"/>
      <family val="2"/>
      <scheme val="minor"/>
    </font>
    <font>
      <sz val="10"/>
      <color rgb="FF9C5700"/>
      <name val="Calibri"/>
      <family val="2"/>
      <scheme val="minor"/>
    </font>
    <font>
      <b/>
      <sz val="10"/>
      <color rgb="FF006100"/>
      <name val="Calibri"/>
      <family val="2"/>
      <scheme val="minor"/>
    </font>
    <font>
      <b/>
      <u/>
      <sz val="10"/>
      <color rgb="FF006100"/>
      <name val="Calibri"/>
      <family val="2"/>
      <scheme val="minor"/>
    </font>
    <font>
      <sz val="10"/>
      <color rgb="FF006100"/>
      <name val="Calibri"/>
      <family val="2"/>
      <scheme val="minor"/>
    </font>
    <font>
      <sz val="10"/>
      <name val="Calibri"/>
      <family val="2"/>
      <scheme val="minor"/>
    </font>
    <font>
      <sz val="10"/>
      <color theme="1"/>
      <name val="Calibri"/>
      <family val="2"/>
      <scheme val="minor"/>
    </font>
  </fonts>
  <fills count="46">
    <fill>
      <patternFill patternType="none"/>
    </fill>
    <fill>
      <patternFill patternType="gray125"/>
    </fill>
    <fill>
      <patternFill patternType="solid">
        <fgColor theme="4" tint="0.399975585192419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FFC7CE"/>
      </patternFill>
    </fill>
    <fill>
      <patternFill patternType="solid">
        <fgColor rgb="FFC6EFCE"/>
      </patternFill>
    </fill>
    <fill>
      <patternFill patternType="solid">
        <fgColor theme="0"/>
        <bgColor indexed="64"/>
      </patternFill>
    </fill>
    <fill>
      <patternFill patternType="solid">
        <fgColor theme="4" tint="-0.499984740745262"/>
        <bgColor indexed="64"/>
      </patternFill>
    </fill>
    <fill>
      <patternFill patternType="solid">
        <fgColor theme="5" tint="0.79998168889431442"/>
        <bgColor indexed="64"/>
      </patternFill>
    </fill>
    <fill>
      <patternFill patternType="solid">
        <fgColor rgb="FF9C0006"/>
        <bgColor indexed="64"/>
      </patternFill>
    </fill>
    <fill>
      <patternFill patternType="solid">
        <fgColor rgb="FFFFC7CE"/>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1"/>
        <bgColor indexed="64"/>
      </patternFill>
    </fill>
    <fill>
      <patternFill patternType="solid">
        <fgColor theme="5" tint="0.59999389629810485"/>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7"/>
        <bgColor indexed="64"/>
      </patternFill>
    </fill>
    <fill>
      <patternFill patternType="solid">
        <fgColor theme="5"/>
        <bgColor indexed="64"/>
      </patternFill>
    </fill>
    <fill>
      <patternFill patternType="solid">
        <fgColor rgb="FF0070C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FFEB9C"/>
      </patternFill>
    </fill>
    <fill>
      <patternFill patternType="solid">
        <fgColor theme="1" tint="0.249977111117893"/>
        <bgColor indexed="64"/>
      </patternFill>
    </fill>
    <fill>
      <patternFill patternType="solid">
        <fgColor rgb="FF3F3F76"/>
        <bgColor indexed="64"/>
      </patternFill>
    </fill>
    <fill>
      <patternFill patternType="gray125">
        <bgColor theme="4" tint="0.59999389629810485"/>
      </patternFill>
    </fill>
    <fill>
      <patternFill patternType="solid">
        <fgColor rgb="FFE3CAFE"/>
        <bgColor indexed="64"/>
      </patternFill>
    </fill>
    <fill>
      <patternFill patternType="gray125">
        <bgColor rgb="FFE3CAFE"/>
      </patternFill>
    </fill>
    <fill>
      <patternFill patternType="gray125">
        <bgColor rgb="FFFFC7CE"/>
      </patternFill>
    </fill>
    <fill>
      <patternFill patternType="solid">
        <fgColor rgb="FF9C5700"/>
        <bgColor indexed="64"/>
      </patternFill>
    </fill>
    <fill>
      <patternFill patternType="solid">
        <fgColor rgb="FFFFCC99"/>
        <bgColor indexed="64"/>
      </patternFill>
    </fill>
    <fill>
      <patternFill patternType="solid">
        <fgColor rgb="FFFFEB9C"/>
        <bgColor indexed="64"/>
      </patternFill>
    </fill>
    <fill>
      <patternFill patternType="solid">
        <fgColor rgb="FFC7EFCE"/>
        <bgColor indexed="64"/>
      </patternFill>
    </fill>
    <fill>
      <patternFill patternType="solid">
        <fgColor rgb="FF00610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theme="4" tint="0.39997558519241921"/>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s>
  <cellStyleXfs count="9">
    <xf numFmtId="0" fontId="0" fillId="0" borderId="0"/>
    <xf numFmtId="0" fontId="4" fillId="8" borderId="0" applyNumberFormat="0" applyBorder="0" applyAlignment="0" applyProtection="0"/>
    <xf numFmtId="44" fontId="8" fillId="0" borderId="0" applyFont="0" applyFill="0" applyBorder="0" applyAlignment="0" applyProtection="0"/>
    <xf numFmtId="9" fontId="8" fillId="0" borderId="0" applyFont="0" applyFill="0" applyBorder="0" applyAlignment="0" applyProtection="0"/>
    <xf numFmtId="0" fontId="9" fillId="9" borderId="0" applyNumberFormat="0" applyBorder="0" applyAlignment="0" applyProtection="0"/>
    <xf numFmtId="0" fontId="14" fillId="0" borderId="0" applyNumberFormat="0" applyFill="0" applyBorder="0" applyAlignment="0" applyProtection="0"/>
    <xf numFmtId="43" fontId="8" fillId="0" borderId="0" applyFont="0" applyFill="0" applyBorder="0" applyAlignment="0" applyProtection="0"/>
    <xf numFmtId="0" fontId="23" fillId="34" borderId="0" applyNumberFormat="0" applyBorder="0" applyAlignment="0" applyProtection="0"/>
    <xf numFmtId="0" fontId="25" fillId="0" borderId="0"/>
  </cellStyleXfs>
  <cellXfs count="443">
    <xf numFmtId="0" fontId="0" fillId="0" borderId="0" xfId="0"/>
    <xf numFmtId="0" fontId="2" fillId="0" borderId="0" xfId="0" applyFont="1" applyAlignment="1" applyProtection="1">
      <alignment horizontal="center"/>
      <protection locked="0"/>
    </xf>
    <xf numFmtId="0" fontId="0" fillId="4" borderId="1" xfId="0"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hidden="1"/>
    </xf>
    <xf numFmtId="0" fontId="0" fillId="0" borderId="0" xfId="0" applyAlignment="1" applyProtection="1">
      <alignment vertical="center"/>
      <protection locked="0"/>
    </xf>
    <xf numFmtId="0" fontId="1" fillId="5" borderId="1" xfId="0" applyFont="1" applyFill="1" applyBorder="1" applyAlignment="1" applyProtection="1">
      <alignment horizontal="centerContinuous" vertical="center"/>
      <protection hidden="1"/>
    </xf>
    <xf numFmtId="0" fontId="0" fillId="4" borderId="8" xfId="0" applyFill="1" applyBorder="1" applyAlignment="1" applyProtection="1">
      <alignment horizontal="center" vertical="center"/>
      <protection locked="0"/>
    </xf>
    <xf numFmtId="0" fontId="0" fillId="7" borderId="10" xfId="0" applyFill="1" applyBorder="1" applyAlignment="1" applyProtection="1">
      <alignment horizontal="left" vertical="center" indent="2"/>
      <protection hidden="1"/>
    </xf>
    <xf numFmtId="0" fontId="0" fillId="7" borderId="8" xfId="0" applyFill="1" applyBorder="1" applyAlignment="1" applyProtection="1">
      <alignment horizontal="left" vertical="center" indent="1"/>
      <protection hidden="1"/>
    </xf>
    <xf numFmtId="0" fontId="0" fillId="7" borderId="9" xfId="0" applyFill="1" applyBorder="1" applyAlignment="1" applyProtection="1">
      <alignment horizontal="left" vertical="center" indent="1"/>
      <protection hidden="1"/>
    </xf>
    <xf numFmtId="0" fontId="0" fillId="7" borderId="10" xfId="0" applyFill="1" applyBorder="1" applyAlignment="1" applyProtection="1">
      <alignment horizontal="left" vertical="center" indent="1"/>
      <protection hidden="1"/>
    </xf>
    <xf numFmtId="0" fontId="1" fillId="6" borderId="8" xfId="0" applyFont="1" applyFill="1" applyBorder="1" applyAlignment="1" applyProtection="1">
      <alignment horizontal="center" vertical="center"/>
      <protection hidden="1"/>
    </xf>
    <xf numFmtId="0" fontId="1" fillId="6" borderId="10" xfId="0" applyFont="1" applyFill="1" applyBorder="1" applyAlignment="1" applyProtection="1">
      <alignment horizontal="center" vertical="center"/>
      <protection hidden="1"/>
    </xf>
    <xf numFmtId="0" fontId="1" fillId="5" borderId="11" xfId="0" applyFont="1" applyFill="1" applyBorder="1" applyAlignment="1" applyProtection="1">
      <alignment horizontal="centerContinuous" vertical="center"/>
      <protection hidden="1"/>
    </xf>
    <xf numFmtId="0" fontId="0" fillId="7" borderId="6" xfId="0" applyFill="1" applyBorder="1" applyAlignment="1" applyProtection="1">
      <alignment horizontal="left" vertical="center" indent="1"/>
      <protection hidden="1"/>
    </xf>
    <xf numFmtId="0" fontId="0" fillId="7" borderId="7" xfId="0" applyFill="1" applyBorder="1" applyAlignment="1" applyProtection="1">
      <alignment horizontal="left" vertical="center" indent="1"/>
      <protection hidden="1"/>
    </xf>
    <xf numFmtId="0" fontId="0" fillId="7" borderId="4" xfId="0" applyFill="1" applyBorder="1" applyAlignment="1" applyProtection="1">
      <alignment horizontal="left" vertical="center" indent="1"/>
      <protection hidden="1"/>
    </xf>
    <xf numFmtId="0" fontId="1" fillId="6" borderId="8" xfId="0" applyFont="1" applyFill="1" applyBorder="1" applyAlignment="1" applyProtection="1">
      <alignment horizontal="centerContinuous" vertical="center"/>
      <protection hidden="1"/>
    </xf>
    <xf numFmtId="0" fontId="1" fillId="6" borderId="9" xfId="0" applyFont="1" applyFill="1" applyBorder="1" applyAlignment="1" applyProtection="1">
      <alignment horizontal="centerContinuous" vertical="center"/>
      <protection hidden="1"/>
    </xf>
    <xf numFmtId="0" fontId="1" fillId="6" borderId="10" xfId="0" applyFont="1" applyFill="1" applyBorder="1" applyAlignment="1" applyProtection="1">
      <alignment horizontal="centerContinuous" vertical="center"/>
      <protection hidden="1"/>
    </xf>
    <xf numFmtId="0" fontId="1" fillId="7" borderId="1" xfId="0" applyFont="1" applyFill="1" applyBorder="1" applyAlignment="1" applyProtection="1">
      <alignment horizontal="center" vertical="center"/>
      <protection hidden="1"/>
    </xf>
    <xf numFmtId="0" fontId="2" fillId="0" borderId="0" xfId="0" applyFont="1" applyAlignment="1" applyProtection="1">
      <alignment vertical="center"/>
      <protection locked="0"/>
    </xf>
    <xf numFmtId="0" fontId="2" fillId="0" borderId="0" xfId="0" applyFont="1" applyAlignment="1" applyProtection="1">
      <alignment horizontal="center" vertical="center"/>
      <protection locked="0"/>
    </xf>
    <xf numFmtId="0" fontId="0" fillId="0" borderId="0" xfId="0" applyAlignment="1">
      <alignment vertical="center"/>
    </xf>
    <xf numFmtId="10" fontId="0" fillId="0" borderId="0" xfId="3" applyNumberFormat="1" applyFont="1" applyAlignment="1">
      <alignment vertical="center"/>
    </xf>
    <xf numFmtId="0" fontId="0" fillId="12" borderId="1" xfId="0" applyFill="1" applyBorder="1" applyAlignment="1">
      <alignment vertical="center"/>
    </xf>
    <xf numFmtId="0" fontId="0" fillId="12" borderId="1" xfId="0" applyFill="1" applyBorder="1"/>
    <xf numFmtId="3" fontId="0" fillId="12" borderId="1" xfId="0" applyNumberFormat="1" applyFill="1" applyBorder="1"/>
    <xf numFmtId="0" fontId="0" fillId="7" borderId="1" xfId="0" applyFill="1" applyBorder="1" applyAlignment="1">
      <alignment vertical="center"/>
    </xf>
    <xf numFmtId="0" fontId="0" fillId="7" borderId="1" xfId="0" applyFill="1" applyBorder="1"/>
    <xf numFmtId="3" fontId="0" fillId="7" borderId="1" xfId="0" applyNumberFormat="1" applyFill="1" applyBorder="1"/>
    <xf numFmtId="0" fontId="0" fillId="17" borderId="1" xfId="0" applyFill="1" applyBorder="1" applyAlignment="1">
      <alignment vertical="center"/>
    </xf>
    <xf numFmtId="0" fontId="0" fillId="17" borderId="1" xfId="0" applyFill="1" applyBorder="1"/>
    <xf numFmtId="3" fontId="0" fillId="17" borderId="1" xfId="0" applyNumberFormat="1" applyFill="1" applyBorder="1"/>
    <xf numFmtId="0" fontId="13" fillId="18" borderId="1" xfId="0" applyFont="1" applyFill="1" applyBorder="1" applyAlignment="1">
      <alignment horizontal="centerContinuous" vertical="center"/>
    </xf>
    <xf numFmtId="0" fontId="13" fillId="18" borderId="1" xfId="0" applyFont="1" applyFill="1" applyBorder="1" applyAlignment="1">
      <alignment horizontal="centerContinuous"/>
    </xf>
    <xf numFmtId="165" fontId="0" fillId="0" borderId="0" xfId="0" applyNumberFormat="1" applyAlignment="1">
      <alignment vertical="center"/>
    </xf>
    <xf numFmtId="0" fontId="0" fillId="12" borderId="1" xfId="0" applyFill="1" applyBorder="1" applyAlignment="1">
      <alignment horizontal="center" vertical="center"/>
    </xf>
    <xf numFmtId="0" fontId="0" fillId="7" borderId="1" xfId="0" applyFill="1" applyBorder="1" applyAlignment="1">
      <alignment horizontal="center" vertical="center"/>
    </xf>
    <xf numFmtId="0" fontId="0" fillId="17" borderId="1" xfId="0" applyFill="1" applyBorder="1" applyAlignment="1">
      <alignment horizontal="center" vertical="center"/>
    </xf>
    <xf numFmtId="0" fontId="0" fillId="17" borderId="1" xfId="0" applyFill="1" applyBorder="1" applyAlignment="1">
      <alignment horizontal="center"/>
    </xf>
    <xf numFmtId="165" fontId="0" fillId="12" borderId="1" xfId="6" applyNumberFormat="1" applyFont="1" applyFill="1" applyBorder="1"/>
    <xf numFmtId="165" fontId="0" fillId="7" borderId="1" xfId="6" applyNumberFormat="1" applyFont="1" applyFill="1" applyBorder="1"/>
    <xf numFmtId="165" fontId="0" fillId="17" borderId="1" xfId="6" applyNumberFormat="1" applyFont="1" applyFill="1" applyBorder="1"/>
    <xf numFmtId="0" fontId="0" fillId="19" borderId="8" xfId="0" applyFill="1" applyBorder="1" applyAlignment="1">
      <alignment vertical="center"/>
    </xf>
    <xf numFmtId="0" fontId="0" fillId="19" borderId="9" xfId="0" applyFill="1" applyBorder="1" applyAlignment="1">
      <alignment vertical="center"/>
    </xf>
    <xf numFmtId="0" fontId="0" fillId="6" borderId="8" xfId="0" applyFill="1" applyBorder="1" applyAlignment="1">
      <alignment vertical="center"/>
    </xf>
    <xf numFmtId="0" fontId="0" fillId="6" borderId="9" xfId="0" applyFill="1" applyBorder="1" applyAlignment="1">
      <alignment vertical="center"/>
    </xf>
    <xf numFmtId="0" fontId="0" fillId="16" borderId="8" xfId="0" applyFill="1" applyBorder="1" applyAlignment="1">
      <alignment vertical="center"/>
    </xf>
    <xf numFmtId="0" fontId="0" fillId="16" borderId="9" xfId="0" applyFill="1" applyBorder="1" applyAlignment="1">
      <alignment vertical="center"/>
    </xf>
    <xf numFmtId="166" fontId="0" fillId="0" borderId="1" xfId="2" applyNumberFormat="1" applyFont="1" applyBorder="1" applyAlignment="1">
      <alignment vertical="center"/>
    </xf>
    <xf numFmtId="9" fontId="0" fillId="12" borderId="1" xfId="3" applyFont="1" applyFill="1" applyBorder="1"/>
    <xf numFmtId="9" fontId="0" fillId="7" borderId="1" xfId="3" applyFont="1" applyFill="1" applyBorder="1"/>
    <xf numFmtId="9" fontId="0" fillId="17" borderId="1" xfId="3" applyFont="1" applyFill="1" applyBorder="1"/>
    <xf numFmtId="9" fontId="0" fillId="0" borderId="0" xfId="3" applyFont="1"/>
    <xf numFmtId="0" fontId="0" fillId="21" borderId="8" xfId="0" applyFill="1" applyBorder="1"/>
    <xf numFmtId="0" fontId="0" fillId="21" borderId="9" xfId="0" applyFill="1" applyBorder="1"/>
    <xf numFmtId="0" fontId="0" fillId="21" borderId="10" xfId="0" applyFill="1" applyBorder="1" applyAlignment="1">
      <alignment vertical="center"/>
    </xf>
    <xf numFmtId="3" fontId="0" fillId="0" borderId="1" xfId="0" applyNumberFormat="1" applyBorder="1" applyAlignment="1">
      <alignment horizontal="center"/>
    </xf>
    <xf numFmtId="44" fontId="0" fillId="0" borderId="1" xfId="2" applyFont="1" applyBorder="1"/>
    <xf numFmtId="0" fontId="13" fillId="18" borderId="1" xfId="0" applyFont="1" applyFill="1" applyBorder="1" applyAlignment="1">
      <alignment horizontal="center"/>
    </xf>
    <xf numFmtId="0" fontId="2" fillId="20" borderId="1" xfId="0" applyFont="1" applyFill="1" applyBorder="1" applyAlignment="1">
      <alignment horizontal="center"/>
    </xf>
    <xf numFmtId="0" fontId="2" fillId="20" borderId="1" xfId="0" applyFont="1" applyFill="1" applyBorder="1" applyAlignment="1">
      <alignment horizontal="center" vertical="center"/>
    </xf>
    <xf numFmtId="10" fontId="0" fillId="12" borderId="1" xfId="3" applyNumberFormat="1" applyFont="1" applyFill="1" applyBorder="1"/>
    <xf numFmtId="10" fontId="0" fillId="7" borderId="1" xfId="3" applyNumberFormat="1" applyFont="1" applyFill="1" applyBorder="1"/>
    <xf numFmtId="10" fontId="0" fillId="17" borderId="1" xfId="3" applyNumberFormat="1" applyFont="1" applyFill="1" applyBorder="1"/>
    <xf numFmtId="0" fontId="0" fillId="19" borderId="1" xfId="0" applyFill="1" applyBorder="1" applyAlignment="1">
      <alignment horizontal="left" vertical="center"/>
    </xf>
    <xf numFmtId="0" fontId="0" fillId="6" borderId="1" xfId="0" applyFill="1" applyBorder="1" applyAlignment="1">
      <alignment horizontal="left" vertical="center"/>
    </xf>
    <xf numFmtId="0" fontId="0" fillId="16" borderId="1" xfId="0" applyFill="1" applyBorder="1" applyAlignment="1">
      <alignment horizontal="left" vertical="center"/>
    </xf>
    <xf numFmtId="0" fontId="16" fillId="18" borderId="1" xfId="0" applyFont="1" applyFill="1" applyBorder="1" applyAlignment="1">
      <alignment horizontal="center"/>
    </xf>
    <xf numFmtId="0" fontId="17" fillId="2" borderId="1" xfId="0" applyFont="1" applyFill="1" applyBorder="1" applyAlignment="1">
      <alignment horizontal="center"/>
    </xf>
    <xf numFmtId="0" fontId="16" fillId="10" borderId="0" xfId="0" applyFont="1" applyFill="1"/>
    <xf numFmtId="0" fontId="16" fillId="4" borderId="0" xfId="0" applyFont="1" applyFill="1"/>
    <xf numFmtId="0" fontId="16" fillId="20" borderId="1" xfId="0" applyFont="1" applyFill="1" applyBorder="1" applyAlignment="1">
      <alignment horizontal="center"/>
    </xf>
    <xf numFmtId="0" fontId="16" fillId="10" borderId="0" xfId="0" applyFont="1" applyFill="1" applyAlignment="1">
      <alignment horizontal="center"/>
    </xf>
    <xf numFmtId="0" fontId="16" fillId="10" borderId="0" xfId="0" applyFont="1" applyFill="1" applyAlignment="1" applyProtection="1">
      <alignment horizontal="center"/>
      <protection hidden="1"/>
    </xf>
    <xf numFmtId="0" fontId="16" fillId="3" borderId="1" xfId="0" applyFont="1" applyFill="1" applyBorder="1" applyAlignment="1">
      <alignment horizontal="center"/>
    </xf>
    <xf numFmtId="164" fontId="16" fillId="10" borderId="0" xfId="0" applyNumberFormat="1" applyFont="1" applyFill="1" applyAlignment="1">
      <alignment horizontal="center"/>
    </xf>
    <xf numFmtId="0" fontId="18" fillId="23" borderId="0" xfId="0" applyFont="1" applyFill="1" applyAlignment="1">
      <alignment horizontal="center"/>
    </xf>
    <xf numFmtId="167" fontId="0" fillId="0" borderId="1" xfId="0" applyNumberFormat="1" applyBorder="1"/>
    <xf numFmtId="0" fontId="18" fillId="24" borderId="0" xfId="0" applyFont="1" applyFill="1" applyAlignment="1">
      <alignment horizontal="center" vertical="center"/>
    </xf>
    <xf numFmtId="3" fontId="0" fillId="20" borderId="1" xfId="0" applyNumberFormat="1" applyFill="1" applyBorder="1"/>
    <xf numFmtId="9" fontId="0" fillId="22" borderId="1" xfId="3" applyFont="1" applyFill="1" applyBorder="1"/>
    <xf numFmtId="165" fontId="0" fillId="22" borderId="1" xfId="6" applyNumberFormat="1" applyFont="1" applyFill="1" applyBorder="1"/>
    <xf numFmtId="0" fontId="0" fillId="0" borderId="1" xfId="0" applyBorder="1"/>
    <xf numFmtId="0" fontId="0" fillId="25" borderId="1" xfId="0" applyFill="1" applyBorder="1" applyAlignment="1">
      <alignment horizontal="center"/>
    </xf>
    <xf numFmtId="0" fontId="0" fillId="2" borderId="1" xfId="0" applyFill="1" applyBorder="1" applyAlignment="1">
      <alignment horizontal="center"/>
    </xf>
    <xf numFmtId="0" fontId="0" fillId="2" borderId="1" xfId="0" applyFill="1" applyBorder="1"/>
    <xf numFmtId="0" fontId="0" fillId="21" borderId="0" xfId="0" applyFill="1" applyAlignment="1">
      <alignment horizontal="center"/>
    </xf>
    <xf numFmtId="0" fontId="0" fillId="19" borderId="1" xfId="0" applyFill="1" applyBorder="1" applyAlignment="1">
      <alignment horizontal="center"/>
    </xf>
    <xf numFmtId="0" fontId="0" fillId="21" borderId="7" xfId="0" applyFill="1" applyBorder="1" applyAlignment="1">
      <alignment horizontal="center"/>
    </xf>
    <xf numFmtId="0" fontId="0" fillId="14" borderId="11" xfId="0" applyFill="1" applyBorder="1" applyAlignment="1">
      <alignment horizontal="center"/>
    </xf>
    <xf numFmtId="0" fontId="0" fillId="14" borderId="1" xfId="0" applyFill="1" applyBorder="1" applyAlignment="1">
      <alignment horizontal="center"/>
    </xf>
    <xf numFmtId="0" fontId="0" fillId="14" borderId="10" xfId="0" applyFill="1" applyBorder="1" applyAlignment="1">
      <alignment horizontal="center"/>
    </xf>
    <xf numFmtId="0" fontId="0" fillId="14" borderId="8" xfId="0" applyFill="1" applyBorder="1"/>
    <xf numFmtId="0" fontId="0" fillId="14" borderId="9" xfId="0" applyFill="1" applyBorder="1"/>
    <xf numFmtId="0" fontId="0" fillId="14" borderId="10" xfId="0" applyFill="1" applyBorder="1" applyAlignment="1">
      <alignment vertical="center"/>
    </xf>
    <xf numFmtId="0" fontId="0" fillId="26" borderId="8" xfId="0" applyFill="1" applyBorder="1"/>
    <xf numFmtId="0" fontId="0" fillId="26" borderId="9" xfId="0" applyFill="1" applyBorder="1"/>
    <xf numFmtId="0" fontId="0" fillId="26" borderId="10" xfId="0" applyFill="1" applyBorder="1" applyAlignment="1">
      <alignment vertical="center"/>
    </xf>
    <xf numFmtId="0" fontId="0" fillId="27" borderId="8" xfId="0" applyFill="1" applyBorder="1"/>
    <xf numFmtId="0" fontId="0" fillId="27" borderId="9" xfId="0" applyFill="1" applyBorder="1"/>
    <xf numFmtId="0" fontId="0" fillId="27" borderId="10" xfId="0" applyFill="1" applyBorder="1" applyAlignment="1">
      <alignment vertical="center"/>
    </xf>
    <xf numFmtId="0" fontId="0" fillId="4" borderId="1" xfId="0" applyFill="1" applyBorder="1" applyAlignment="1">
      <alignment horizontal="center"/>
    </xf>
    <xf numFmtId="2" fontId="0" fillId="0" borderId="13" xfId="0" applyNumberFormat="1" applyBorder="1"/>
    <xf numFmtId="0" fontId="0" fillId="0" borderId="14" xfId="0" applyBorder="1"/>
    <xf numFmtId="0" fontId="0" fillId="0" borderId="15" xfId="0" applyBorder="1"/>
    <xf numFmtId="0" fontId="0" fillId="0" borderId="16" xfId="0" applyBorder="1"/>
    <xf numFmtId="2" fontId="0" fillId="0" borderId="17" xfId="0" applyNumberFormat="1" applyBorder="1"/>
    <xf numFmtId="0" fontId="0" fillId="0" borderId="18" xfId="0" applyBorder="1"/>
    <xf numFmtId="0" fontId="0" fillId="28" borderId="1" xfId="0" applyFill="1" applyBorder="1" applyAlignment="1">
      <alignment horizontal="center"/>
    </xf>
    <xf numFmtId="0" fontId="18" fillId="18" borderId="9" xfId="0" applyFont="1" applyFill="1" applyBorder="1"/>
    <xf numFmtId="0" fontId="18" fillId="18" borderId="7" xfId="0" applyFont="1" applyFill="1" applyBorder="1"/>
    <xf numFmtId="0" fontId="18" fillId="18" borderId="1" xfId="0" applyFont="1" applyFill="1" applyBorder="1" applyAlignment="1">
      <alignment horizontal="center"/>
    </xf>
    <xf numFmtId="0" fontId="18" fillId="18" borderId="0" xfId="0" applyFont="1" applyFill="1"/>
    <xf numFmtId="0" fontId="18" fillId="18" borderId="2" xfId="0" applyFont="1" applyFill="1" applyBorder="1" applyAlignment="1">
      <alignment horizontal="center"/>
    </xf>
    <xf numFmtId="0" fontId="18" fillId="18" borderId="12" xfId="0" applyFont="1" applyFill="1" applyBorder="1" applyAlignment="1">
      <alignment horizontal="center"/>
    </xf>
    <xf numFmtId="0" fontId="18" fillId="18" borderId="6" xfId="0" applyFont="1" applyFill="1" applyBorder="1" applyAlignment="1">
      <alignment horizontal="center"/>
    </xf>
    <xf numFmtId="0" fontId="0" fillId="0" borderId="19" xfId="0" applyBorder="1"/>
    <xf numFmtId="0" fontId="0" fillId="0" borderId="20" xfId="0" applyBorder="1"/>
    <xf numFmtId="168" fontId="0" fillId="0" borderId="0" xfId="0" applyNumberFormat="1"/>
    <xf numFmtId="0" fontId="0" fillId="19" borderId="8" xfId="0" applyFill="1" applyBorder="1"/>
    <xf numFmtId="0" fontId="0" fillId="19" borderId="9" xfId="0" applyFill="1" applyBorder="1"/>
    <xf numFmtId="0" fontId="0" fillId="19" borderId="10" xfId="0" applyFill="1" applyBorder="1" applyAlignment="1">
      <alignment vertical="center"/>
    </xf>
    <xf numFmtId="9" fontId="0" fillId="0" borderId="0" xfId="0" applyNumberFormat="1"/>
    <xf numFmtId="0" fontId="0" fillId="0" borderId="0" xfId="0" applyAlignment="1">
      <alignment horizontal="left"/>
    </xf>
    <xf numFmtId="167" fontId="0" fillId="0" borderId="0" xfId="0" applyNumberFormat="1"/>
    <xf numFmtId="0" fontId="13" fillId="18" borderId="0" xfId="0" applyFont="1" applyFill="1" applyAlignment="1">
      <alignment horizontal="center"/>
    </xf>
    <xf numFmtId="0" fontId="0" fillId="0" borderId="1" xfId="0" applyBorder="1" applyAlignment="1">
      <alignment horizontal="center"/>
    </xf>
    <xf numFmtId="0" fontId="0" fillId="0" borderId="11" xfId="0" applyBorder="1" applyAlignment="1">
      <alignment horizontal="center"/>
    </xf>
    <xf numFmtId="0" fontId="0" fillId="0" borderId="11" xfId="0" applyBorder="1"/>
    <xf numFmtId="0" fontId="0" fillId="27" borderId="1" xfId="0" applyFill="1" applyBorder="1"/>
    <xf numFmtId="167" fontId="0" fillId="21" borderId="1" xfId="0" applyNumberFormat="1" applyFill="1" applyBorder="1"/>
    <xf numFmtId="10" fontId="0" fillId="0" borderId="1" xfId="0" applyNumberFormat="1" applyBorder="1"/>
    <xf numFmtId="10" fontId="0" fillId="0" borderId="11" xfId="0" applyNumberFormat="1" applyBorder="1"/>
    <xf numFmtId="0" fontId="0" fillId="27" borderId="10" xfId="0" applyFill="1" applyBorder="1"/>
    <xf numFmtId="0" fontId="0" fillId="0" borderId="0" xfId="0" pivotButton="1"/>
    <xf numFmtId="0" fontId="13" fillId="31" borderId="0" xfId="0" applyFont="1" applyFill="1" applyAlignment="1">
      <alignment horizontal="center"/>
    </xf>
    <xf numFmtId="0" fontId="13" fillId="30" borderId="0" xfId="0" applyFont="1" applyFill="1" applyAlignment="1">
      <alignment horizontal="center"/>
    </xf>
    <xf numFmtId="9" fontId="0" fillId="0" borderId="0" xfId="0" pivotButton="1" applyNumberFormat="1"/>
    <xf numFmtId="1" fontId="0" fillId="21" borderId="1" xfId="0" applyNumberFormat="1" applyFill="1" applyBorder="1"/>
    <xf numFmtId="0" fontId="0" fillId="5" borderId="1" xfId="0" applyFill="1" applyBorder="1"/>
    <xf numFmtId="1" fontId="0" fillId="6" borderId="1" xfId="0" applyNumberFormat="1" applyFill="1" applyBorder="1"/>
    <xf numFmtId="44" fontId="0" fillId="6" borderId="1" xfId="2" applyFont="1" applyFill="1" applyBorder="1"/>
    <xf numFmtId="10" fontId="0" fillId="0" borderId="0" xfId="0" applyNumberFormat="1"/>
    <xf numFmtId="0" fontId="0" fillId="5" borderId="10" xfId="0" applyFill="1" applyBorder="1"/>
    <xf numFmtId="0" fontId="1" fillId="0" borderId="0" xfId="0" applyFont="1" applyAlignment="1">
      <alignment horizontal="center"/>
    </xf>
    <xf numFmtId="0" fontId="1" fillId="0" borderId="1" xfId="0" applyFont="1" applyBorder="1" applyAlignment="1">
      <alignment horizontal="center"/>
    </xf>
    <xf numFmtId="44" fontId="0" fillId="0" borderId="0" xfId="2" applyFont="1"/>
    <xf numFmtId="0" fontId="0" fillId="0" borderId="1" xfId="0" applyBorder="1" applyAlignment="1">
      <alignment horizontal="left" indent="1"/>
    </xf>
    <xf numFmtId="0" fontId="0" fillId="2" borderId="1" xfId="0" applyFill="1" applyBorder="1" applyAlignment="1">
      <alignment horizontal="left"/>
    </xf>
    <xf numFmtId="0" fontId="0" fillId="2" borderId="0" xfId="0" applyFill="1" applyAlignment="1">
      <alignment horizontal="left"/>
    </xf>
    <xf numFmtId="0" fontId="0" fillId="0" borderId="1" xfId="0" pivotButton="1" applyBorder="1"/>
    <xf numFmtId="0" fontId="0" fillId="26" borderId="1" xfId="0" applyFill="1" applyBorder="1" applyAlignment="1">
      <alignment horizontal="left"/>
    </xf>
    <xf numFmtId="0" fontId="13" fillId="18" borderId="22" xfId="0" applyFont="1" applyFill="1" applyBorder="1" applyAlignment="1">
      <alignment horizontal="centerContinuous"/>
    </xf>
    <xf numFmtId="1" fontId="0" fillId="26" borderId="1" xfId="0" applyNumberFormat="1" applyFill="1" applyBorder="1"/>
    <xf numFmtId="1" fontId="0" fillId="0" borderId="1" xfId="0" applyNumberFormat="1" applyBorder="1"/>
    <xf numFmtId="1" fontId="0" fillId="2" borderId="1" xfId="0" applyNumberFormat="1" applyFill="1" applyBorder="1"/>
    <xf numFmtId="1" fontId="0" fillId="2" borderId="0" xfId="0" applyNumberFormat="1" applyFill="1"/>
    <xf numFmtId="44" fontId="22" fillId="0" borderId="8" xfId="2" applyFont="1" applyFill="1" applyBorder="1"/>
    <xf numFmtId="44" fontId="22" fillId="0" borderId="2" xfId="2" applyFont="1" applyFill="1" applyBorder="1"/>
    <xf numFmtId="0" fontId="2" fillId="0" borderId="8" xfId="0" applyFont="1" applyBorder="1" applyAlignment="1">
      <alignment horizontal="center"/>
    </xf>
    <xf numFmtId="0" fontId="0" fillId="32" borderId="2" xfId="0" applyFill="1" applyBorder="1" applyAlignment="1">
      <alignment horizontal="center"/>
    </xf>
    <xf numFmtId="0" fontId="0" fillId="32" borderId="2" xfId="0" applyFill="1" applyBorder="1"/>
    <xf numFmtId="167" fontId="22" fillId="18" borderId="2" xfId="0" applyNumberFormat="1" applyFont="1" applyFill="1" applyBorder="1"/>
    <xf numFmtId="167" fontId="0" fillId="32" borderId="2" xfId="0" applyNumberFormat="1" applyFill="1" applyBorder="1"/>
    <xf numFmtId="44" fontId="0" fillId="32" borderId="2" xfId="2" applyFont="1" applyFill="1" applyBorder="1"/>
    <xf numFmtId="0" fontId="0" fillId="0" borderId="2" xfId="0" applyBorder="1" applyAlignment="1">
      <alignment horizontal="center"/>
    </xf>
    <xf numFmtId="0" fontId="0" fillId="0" borderId="2" xfId="0" applyBorder="1"/>
    <xf numFmtId="0" fontId="22" fillId="18" borderId="2" xfId="0" applyFont="1" applyFill="1" applyBorder="1"/>
    <xf numFmtId="167" fontId="0" fillId="0" borderId="2" xfId="0" applyNumberFormat="1" applyBorder="1"/>
    <xf numFmtId="44" fontId="0" fillId="0" borderId="2" xfId="2" applyFont="1" applyBorder="1"/>
    <xf numFmtId="0" fontId="0" fillId="32" borderId="5" xfId="0" applyFill="1" applyBorder="1" applyAlignment="1">
      <alignment horizontal="center"/>
    </xf>
    <xf numFmtId="0" fontId="0" fillId="0" borderId="5" xfId="0" applyBorder="1" applyAlignment="1">
      <alignment horizontal="center"/>
    </xf>
    <xf numFmtId="0" fontId="0" fillId="32" borderId="5" xfId="0" applyFill="1" applyBorder="1"/>
    <xf numFmtId="0" fontId="0" fillId="0" borderId="23" xfId="0" applyBorder="1"/>
    <xf numFmtId="0" fontId="0" fillId="32" borderId="23" xfId="0" applyFill="1" applyBorder="1"/>
    <xf numFmtId="0" fontId="13" fillId="33" borderId="0" xfId="0" applyFont="1" applyFill="1" applyAlignment="1">
      <alignment horizontal="center"/>
    </xf>
    <xf numFmtId="0" fontId="13" fillId="33" borderId="12" xfId="0" applyFont="1" applyFill="1" applyBorder="1" applyAlignment="1">
      <alignment horizontal="center"/>
    </xf>
    <xf numFmtId="10" fontId="0" fillId="32" borderId="2" xfId="0" applyNumberFormat="1" applyFill="1" applyBorder="1"/>
    <xf numFmtId="10" fontId="0" fillId="0" borderId="2" xfId="0" applyNumberFormat="1" applyBorder="1"/>
    <xf numFmtId="0" fontId="0" fillId="18" borderId="0" xfId="0" applyFill="1"/>
    <xf numFmtId="167" fontId="0" fillId="18" borderId="0" xfId="0" applyNumberFormat="1" applyFill="1"/>
    <xf numFmtId="0" fontId="0" fillId="0" borderId="1" xfId="0" applyBorder="1" applyAlignment="1">
      <alignment horizontal="left"/>
    </xf>
    <xf numFmtId="0" fontId="0" fillId="0" borderId="8" xfId="0" pivotButton="1" applyBorder="1"/>
    <xf numFmtId="0" fontId="0" fillId="0" borderId="21" xfId="0" applyBorder="1" applyAlignment="1">
      <alignment horizontal="center"/>
    </xf>
    <xf numFmtId="0" fontId="0" fillId="26" borderId="1" xfId="0" applyFill="1" applyBorder="1"/>
    <xf numFmtId="0" fontId="1" fillId="0" borderId="1" xfId="0" pivotButton="1" applyFont="1" applyBorder="1"/>
    <xf numFmtId="0" fontId="1" fillId="0" borderId="1" xfId="0" applyFont="1" applyBorder="1"/>
    <xf numFmtId="0" fontId="0" fillId="0" borderId="9" xfId="0" applyBorder="1"/>
    <xf numFmtId="0" fontId="0" fillId="0" borderId="10" xfId="0" applyBorder="1"/>
    <xf numFmtId="10" fontId="0" fillId="12" borderId="8" xfId="3" applyNumberFormat="1" applyFont="1" applyFill="1" applyBorder="1"/>
    <xf numFmtId="10" fontId="0" fillId="7" borderId="8" xfId="3" applyNumberFormat="1" applyFont="1" applyFill="1" applyBorder="1"/>
    <xf numFmtId="10" fontId="0" fillId="17" borderId="8" xfId="3" applyNumberFormat="1" applyFont="1" applyFill="1" applyBorder="1"/>
    <xf numFmtId="0" fontId="0" fillId="7" borderId="1" xfId="0" applyFill="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center"/>
      <protection locked="0"/>
    </xf>
    <xf numFmtId="0" fontId="24" fillId="0" borderId="0" xfId="0" applyFont="1" applyAlignment="1" applyProtection="1">
      <alignment vertical="center"/>
      <protection locked="0"/>
    </xf>
    <xf numFmtId="0" fontId="1" fillId="6" borderId="1" xfId="0" applyFont="1" applyFill="1" applyBorder="1" applyAlignment="1" applyProtection="1">
      <alignment horizontal="center" vertical="center"/>
      <protection locked="0"/>
    </xf>
    <xf numFmtId="0" fontId="0" fillId="7" borderId="8" xfId="0" applyFill="1" applyBorder="1" applyAlignment="1" applyProtection="1">
      <alignment vertical="center"/>
      <protection locked="0"/>
    </xf>
    <xf numFmtId="0" fontId="0" fillId="7" borderId="9" xfId="0" applyFill="1" applyBorder="1" applyAlignment="1" applyProtection="1">
      <alignment vertical="center"/>
      <protection locked="0"/>
    </xf>
    <xf numFmtId="0" fontId="0" fillId="7" borderId="10" xfId="0" applyFill="1" applyBorder="1" applyAlignment="1" applyProtection="1">
      <alignment vertical="center"/>
      <protection locked="0"/>
    </xf>
    <xf numFmtId="0" fontId="0" fillId="7" borderId="10" xfId="0" applyFill="1" applyBorder="1" applyAlignment="1" applyProtection="1">
      <alignment horizontal="center" vertical="center"/>
      <protection locked="0"/>
    </xf>
    <xf numFmtId="0" fontId="0" fillId="7" borderId="1" xfId="0" applyFill="1" applyBorder="1" applyAlignment="1" applyProtection="1">
      <alignment horizontal="center"/>
      <protection locked="0"/>
    </xf>
    <xf numFmtId="0" fontId="1" fillId="25" borderId="1" xfId="0" applyFont="1" applyFill="1" applyBorder="1" applyAlignment="1" applyProtection="1">
      <alignment horizontal="center"/>
      <protection hidden="1"/>
    </xf>
    <xf numFmtId="0" fontId="0" fillId="3" borderId="1" xfId="0" applyFill="1" applyBorder="1" applyAlignment="1" applyProtection="1">
      <alignment horizontal="center"/>
      <protection hidden="1"/>
    </xf>
    <xf numFmtId="0" fontId="0" fillId="3" borderId="1" xfId="0" applyFill="1" applyBorder="1" applyAlignment="1" applyProtection="1">
      <alignment horizontal="left" vertical="center" indent="3"/>
      <protection hidden="1"/>
    </xf>
    <xf numFmtId="0" fontId="0" fillId="0" borderId="1" xfId="0" applyBorder="1" applyAlignment="1" applyProtection="1">
      <alignment horizontal="left" indent="3"/>
      <protection hidden="1"/>
    </xf>
    <xf numFmtId="0" fontId="0" fillId="3" borderId="11" xfId="0" applyFill="1" applyBorder="1" applyAlignment="1" applyProtection="1">
      <alignment horizontal="center"/>
      <protection hidden="1"/>
    </xf>
    <xf numFmtId="0" fontId="0" fillId="35" borderId="9" xfId="0" applyFill="1" applyBorder="1" applyProtection="1">
      <protection hidden="1"/>
    </xf>
    <xf numFmtId="0" fontId="0" fillId="35" borderId="9" xfId="0" applyFill="1" applyBorder="1" applyAlignment="1" applyProtection="1">
      <alignment horizontal="left" indent="3"/>
      <protection hidden="1"/>
    </xf>
    <xf numFmtId="0" fontId="0" fillId="35" borderId="10" xfId="0" applyFill="1" applyBorder="1" applyAlignment="1" applyProtection="1">
      <alignment horizontal="left" indent="3"/>
      <protection hidden="1"/>
    </xf>
    <xf numFmtId="0" fontId="0" fillId="0" borderId="21" xfId="0" applyBorder="1" applyAlignment="1" applyProtection="1">
      <alignment horizontal="left" indent="3"/>
      <protection hidden="1"/>
    </xf>
    <xf numFmtId="0" fontId="1" fillId="2" borderId="1" xfId="0" applyFont="1" applyFill="1" applyBorder="1" applyAlignment="1" applyProtection="1">
      <alignment horizontal="center" vertical="center"/>
      <protection hidden="1"/>
    </xf>
    <xf numFmtId="0" fontId="1" fillId="5" borderId="1" xfId="0" applyFont="1" applyFill="1" applyBorder="1" applyAlignment="1" applyProtection="1">
      <alignment horizontal="center" vertical="center"/>
      <protection hidden="1"/>
    </xf>
    <xf numFmtId="0" fontId="1" fillId="37" borderId="1" xfId="0" applyFont="1" applyFill="1" applyBorder="1" applyAlignment="1" applyProtection="1">
      <alignment horizontal="center" vertical="center"/>
      <protection hidden="1"/>
    </xf>
    <xf numFmtId="0" fontId="1" fillId="39" borderId="1" xfId="0" applyFont="1" applyFill="1" applyBorder="1" applyAlignment="1" applyProtection="1">
      <alignment horizontal="center" vertical="center"/>
      <protection hidden="1"/>
    </xf>
    <xf numFmtId="0" fontId="1" fillId="25" borderId="1" xfId="0" applyFont="1" applyFill="1" applyBorder="1" applyAlignment="1" applyProtection="1">
      <alignment horizontal="center" vertical="center"/>
      <protection hidden="1"/>
    </xf>
    <xf numFmtId="0" fontId="1" fillId="3" borderId="1" xfId="0" applyFont="1" applyFill="1" applyBorder="1" applyAlignment="1" applyProtection="1">
      <alignment horizontal="center" vertical="center"/>
      <protection hidden="1"/>
    </xf>
    <xf numFmtId="0" fontId="20" fillId="0" borderId="0" xfId="0" applyFont="1" applyAlignment="1" applyProtection="1">
      <alignment vertical="center"/>
      <protection locked="0"/>
    </xf>
    <xf numFmtId="0" fontId="0" fillId="18" borderId="1" xfId="0" applyFill="1" applyBorder="1" applyAlignment="1" applyProtection="1">
      <alignment horizontal="left" vertical="center" indent="2"/>
      <protection hidden="1"/>
    </xf>
    <xf numFmtId="0" fontId="1" fillId="18" borderId="1" xfId="0" applyFont="1" applyFill="1" applyBorder="1" applyAlignment="1" applyProtection="1">
      <alignment horizontal="center" vertical="center"/>
      <protection hidden="1"/>
    </xf>
    <xf numFmtId="0" fontId="0" fillId="18" borderId="1" xfId="0" applyFill="1" applyBorder="1" applyAlignment="1" applyProtection="1">
      <alignment horizontal="left" vertical="center" wrapText="1"/>
      <protection locked="0"/>
    </xf>
    <xf numFmtId="0" fontId="0" fillId="18" borderId="1" xfId="0" applyFill="1" applyBorder="1" applyAlignment="1" applyProtection="1">
      <alignment horizontal="left" vertical="center" wrapText="1"/>
      <protection hidden="1"/>
    </xf>
    <xf numFmtId="0" fontId="0" fillId="18" borderId="1" xfId="0" applyFill="1" applyBorder="1" applyAlignment="1" applyProtection="1">
      <alignment horizontal="justify" vertical="center" wrapText="1"/>
      <protection locked="0"/>
    </xf>
    <xf numFmtId="0" fontId="31" fillId="14" borderId="1" xfId="0" quotePrefix="1" applyFont="1" applyFill="1" applyBorder="1" applyAlignment="1" applyProtection="1">
      <alignment horizontal="center" vertical="center"/>
      <protection hidden="1"/>
    </xf>
    <xf numFmtId="0" fontId="31" fillId="14" borderId="1" xfId="0" applyFont="1" applyFill="1" applyBorder="1" applyAlignment="1" applyProtection="1">
      <alignment horizontal="center" vertical="center"/>
      <protection hidden="1"/>
    </xf>
    <xf numFmtId="0" fontId="31" fillId="40" borderId="1" xfId="0" applyFont="1" applyFill="1" applyBorder="1" applyAlignment="1" applyProtection="1">
      <alignment horizontal="center" vertical="center"/>
      <protection hidden="1"/>
    </xf>
    <xf numFmtId="0" fontId="1" fillId="3" borderId="1" xfId="0" applyFont="1" applyFill="1" applyBorder="1" applyAlignment="1" applyProtection="1">
      <alignment horizontal="center" vertical="center" wrapText="1"/>
      <protection hidden="1"/>
    </xf>
    <xf numFmtId="0" fontId="1" fillId="4" borderId="1" xfId="0" applyFont="1" applyFill="1" applyBorder="1" applyAlignment="1" applyProtection="1">
      <alignment horizontal="center" vertical="center"/>
      <protection locked="0"/>
    </xf>
    <xf numFmtId="0" fontId="0" fillId="18" borderId="1" xfId="0" applyFill="1" applyBorder="1" applyAlignment="1" applyProtection="1">
      <alignment horizontal="center" vertical="center"/>
      <protection hidden="1"/>
    </xf>
    <xf numFmtId="0" fontId="13" fillId="15" borderId="1" xfId="0" applyFont="1" applyFill="1" applyBorder="1" applyAlignment="1" applyProtection="1">
      <alignment horizontal="center" vertical="center"/>
      <protection hidden="1"/>
    </xf>
    <xf numFmtId="0" fontId="0" fillId="18" borderId="1" xfId="0" applyFill="1" applyBorder="1" applyAlignment="1" applyProtection="1">
      <alignment horizontal="center" vertical="center"/>
      <protection locked="0"/>
    </xf>
    <xf numFmtId="0" fontId="0" fillId="18" borderId="1" xfId="0" applyFill="1" applyBorder="1" applyAlignment="1" applyProtection="1">
      <alignment vertical="center"/>
      <protection locked="0"/>
    </xf>
    <xf numFmtId="0" fontId="0" fillId="0" borderId="0" xfId="0" applyProtection="1">
      <protection hidden="1"/>
    </xf>
    <xf numFmtId="0" fontId="0" fillId="0" borderId="0" xfId="0" applyAlignment="1" applyProtection="1">
      <alignment horizontal="center"/>
      <protection hidden="1"/>
    </xf>
    <xf numFmtId="0" fontId="0" fillId="0" borderId="0" xfId="0" applyAlignment="1" applyProtection="1">
      <alignment vertical="center"/>
      <protection hidden="1"/>
    </xf>
    <xf numFmtId="0" fontId="36" fillId="18" borderId="33" xfId="0" applyFont="1" applyFill="1" applyBorder="1" applyAlignment="1" applyProtection="1">
      <alignment horizontal="left" vertical="center" wrapText="1" indent="3"/>
      <protection hidden="1"/>
    </xf>
    <xf numFmtId="0" fontId="37" fillId="18" borderId="21" xfId="0" applyFont="1" applyFill="1" applyBorder="1" applyAlignment="1" applyProtection="1">
      <alignment horizontal="center" vertical="center" wrapText="1"/>
      <protection hidden="1"/>
    </xf>
    <xf numFmtId="0" fontId="36" fillId="18" borderId="34" xfId="0" applyFont="1" applyFill="1" applyBorder="1" applyAlignment="1" applyProtection="1">
      <alignment horizontal="left" vertical="center" wrapText="1" indent="3"/>
      <protection hidden="1"/>
    </xf>
    <xf numFmtId="0" fontId="37" fillId="18" borderId="11" xfId="0" applyFont="1" applyFill="1" applyBorder="1" applyAlignment="1" applyProtection="1">
      <alignment horizontal="center" vertical="center" wrapText="1"/>
      <protection hidden="1"/>
    </xf>
    <xf numFmtId="0" fontId="0" fillId="0" borderId="0" xfId="0" quotePrefix="1" applyProtection="1">
      <protection hidden="1"/>
    </xf>
    <xf numFmtId="0" fontId="56" fillId="0" borderId="0" xfId="0" applyFont="1" applyAlignment="1" applyProtection="1">
      <alignment vertical="center"/>
      <protection hidden="1"/>
    </xf>
    <xf numFmtId="0" fontId="57" fillId="0" borderId="0" xfId="0" applyFont="1" applyProtection="1">
      <protection hidden="1"/>
    </xf>
    <xf numFmtId="0" fontId="56"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14" fillId="14" borderId="1" xfId="5" applyFill="1" applyBorder="1" applyAlignment="1" applyProtection="1">
      <alignment horizontal="left" vertical="center" indent="1"/>
      <protection locked="0"/>
    </xf>
    <xf numFmtId="0" fontId="1" fillId="3" borderId="1" xfId="0" applyFont="1" applyFill="1" applyBorder="1" applyAlignment="1" applyProtection="1">
      <alignment horizontal="left" vertical="center" wrapText="1" indent="1"/>
      <protection hidden="1"/>
    </xf>
    <xf numFmtId="0" fontId="5" fillId="8" borderId="1" xfId="1" applyFont="1" applyBorder="1" applyAlignment="1" applyProtection="1">
      <alignment horizontal="left" vertical="center" wrapText="1" indent="1"/>
      <protection hidden="1"/>
    </xf>
    <xf numFmtId="0" fontId="3" fillId="2" borderId="1" xfId="0" applyFont="1" applyFill="1" applyBorder="1" applyAlignment="1" applyProtection="1">
      <alignment horizontal="center" vertical="center"/>
      <protection hidden="1"/>
    </xf>
    <xf numFmtId="0" fontId="0" fillId="3" borderId="1" xfId="0" applyFill="1" applyBorder="1" applyAlignment="1" applyProtection="1">
      <alignment horizontal="left" vertical="center"/>
      <protection hidden="1"/>
    </xf>
    <xf numFmtId="0" fontId="10" fillId="9" borderId="2" xfId="4" applyFont="1" applyBorder="1" applyAlignment="1" applyProtection="1">
      <alignment horizontal="center" vertical="center"/>
      <protection hidden="1"/>
    </xf>
    <xf numFmtId="0" fontId="10" fillId="9" borderId="5" xfId="4" applyFont="1" applyBorder="1" applyAlignment="1" applyProtection="1">
      <alignment horizontal="center" vertical="center"/>
      <protection hidden="1"/>
    </xf>
    <xf numFmtId="0" fontId="10" fillId="9" borderId="3" xfId="4" applyFont="1" applyBorder="1" applyAlignment="1" applyProtection="1">
      <alignment horizontal="center" vertical="center"/>
      <protection hidden="1"/>
    </xf>
    <xf numFmtId="0" fontId="10" fillId="9" borderId="6" xfId="4" applyFont="1" applyBorder="1" applyAlignment="1" applyProtection="1">
      <alignment horizontal="center" vertical="center"/>
      <protection hidden="1"/>
    </xf>
    <xf numFmtId="0" fontId="10" fillId="9" borderId="7" xfId="4" applyFont="1" applyBorder="1" applyAlignment="1" applyProtection="1">
      <alignment horizontal="center" vertical="center"/>
      <protection hidden="1"/>
    </xf>
    <xf numFmtId="0" fontId="10" fillId="9" borderId="4" xfId="4" applyFont="1" applyBorder="1" applyAlignment="1" applyProtection="1">
      <alignment horizontal="center" vertical="center"/>
      <protection hidden="1"/>
    </xf>
    <xf numFmtId="0" fontId="13" fillId="13" borderId="1" xfId="0" applyFont="1" applyFill="1" applyBorder="1" applyAlignment="1" applyProtection="1">
      <alignment horizontal="center" vertical="center"/>
      <protection locked="0"/>
    </xf>
    <xf numFmtId="0" fontId="0" fillId="7" borderId="1" xfId="0" applyFill="1" applyBorder="1" applyAlignment="1">
      <alignment horizontal="left"/>
    </xf>
    <xf numFmtId="0" fontId="0" fillId="17" borderId="1" xfId="0" applyFill="1" applyBorder="1" applyAlignment="1">
      <alignment horizontal="left"/>
    </xf>
    <xf numFmtId="0" fontId="0" fillId="12" borderId="1" xfId="0" applyFill="1" applyBorder="1" applyAlignment="1">
      <alignment horizontal="left"/>
    </xf>
    <xf numFmtId="0" fontId="11" fillId="11" borderId="2" xfId="0" applyFont="1" applyFill="1" applyBorder="1" applyAlignment="1">
      <alignment horizontal="center" vertical="center"/>
    </xf>
    <xf numFmtId="0" fontId="11" fillId="11" borderId="5" xfId="0" applyFont="1" applyFill="1" applyBorder="1" applyAlignment="1">
      <alignment horizontal="center" vertical="center"/>
    </xf>
    <xf numFmtId="0" fontId="11" fillId="11" borderId="3" xfId="0" applyFont="1" applyFill="1" applyBorder="1" applyAlignment="1">
      <alignment horizontal="center" vertical="center"/>
    </xf>
    <xf numFmtId="0" fontId="11" fillId="11" borderId="6" xfId="0" applyFont="1" applyFill="1" applyBorder="1" applyAlignment="1">
      <alignment horizontal="center" vertical="center"/>
    </xf>
    <xf numFmtId="0" fontId="11" fillId="11" borderId="7" xfId="0" applyFont="1" applyFill="1" applyBorder="1" applyAlignment="1">
      <alignment horizontal="center" vertical="center"/>
    </xf>
    <xf numFmtId="0" fontId="11" fillId="11" borderId="4" xfId="0" applyFont="1" applyFill="1" applyBorder="1" applyAlignment="1">
      <alignment horizontal="center" vertical="center"/>
    </xf>
    <xf numFmtId="0" fontId="13" fillId="18" borderId="1" xfId="0" applyFont="1" applyFill="1" applyBorder="1" applyAlignment="1">
      <alignment horizontal="center" vertical="center"/>
    </xf>
    <xf numFmtId="0" fontId="0" fillId="30" borderId="0" xfId="0" applyFill="1" applyAlignment="1">
      <alignment horizontal="center" vertical="center"/>
    </xf>
    <xf numFmtId="0" fontId="0" fillId="0" borderId="0" xfId="0" applyAlignment="1">
      <alignment horizontal="left" vertical="center" wrapText="1"/>
    </xf>
    <xf numFmtId="0" fontId="13" fillId="18" borderId="0" xfId="0" applyFont="1" applyFill="1" applyAlignment="1">
      <alignment horizontal="center" vertical="center"/>
    </xf>
    <xf numFmtId="0" fontId="0" fillId="25" borderId="0" xfId="0" applyFill="1" applyAlignment="1">
      <alignment horizontal="center" vertical="center"/>
    </xf>
    <xf numFmtId="0" fontId="0" fillId="29" borderId="0" xfId="0" applyFill="1" applyAlignment="1">
      <alignment horizontal="center" vertical="center"/>
    </xf>
    <xf numFmtId="0" fontId="18" fillId="18" borderId="0" xfId="0" applyFont="1" applyFill="1" applyAlignment="1">
      <alignment horizontal="center"/>
    </xf>
    <xf numFmtId="0" fontId="0" fillId="25" borderId="8" xfId="0" applyFill="1" applyBorder="1" applyAlignment="1">
      <alignment horizontal="center"/>
    </xf>
    <xf numFmtId="0" fontId="0" fillId="25" borderId="9" xfId="0" applyFill="1" applyBorder="1" applyAlignment="1">
      <alignment horizontal="center"/>
    </xf>
    <xf numFmtId="0" fontId="0" fillId="25" borderId="10" xfId="0" applyFill="1" applyBorder="1" applyAlignment="1">
      <alignment horizontal="center"/>
    </xf>
    <xf numFmtId="0" fontId="0" fillId="5" borderId="0" xfId="0" applyFill="1" applyAlignment="1">
      <alignment horizontal="center"/>
    </xf>
    <xf numFmtId="44" fontId="0" fillId="0" borderId="0" xfId="2" applyFont="1" applyAlignment="1">
      <alignment horizontal="center"/>
    </xf>
    <xf numFmtId="0" fontId="0" fillId="27" borderId="8" xfId="0" applyFill="1" applyBorder="1"/>
    <xf numFmtId="0" fontId="0" fillId="27" borderId="10" xfId="0" applyFill="1" applyBorder="1"/>
    <xf numFmtId="0" fontId="0" fillId="27" borderId="1" xfId="0" applyFill="1" applyBorder="1"/>
    <xf numFmtId="0" fontId="0" fillId="5" borderId="8" xfId="0" applyFill="1" applyBorder="1"/>
    <xf numFmtId="0" fontId="0" fillId="5" borderId="10" xfId="0" applyFill="1" applyBorder="1"/>
    <xf numFmtId="0" fontId="0" fillId="5" borderId="1" xfId="0" applyFill="1" applyBorder="1"/>
    <xf numFmtId="0" fontId="13" fillId="18" borderId="0" xfId="0" applyFont="1" applyFill="1" applyAlignment="1">
      <alignment horizontal="center"/>
    </xf>
    <xf numFmtId="0" fontId="17" fillId="15" borderId="1" xfId="0" applyFont="1" applyFill="1" applyBorder="1" applyAlignment="1" applyProtection="1">
      <alignment horizontal="center"/>
      <protection hidden="1"/>
    </xf>
    <xf numFmtId="0" fontId="0" fillId="3" borderId="1" xfId="0" applyFill="1" applyBorder="1" applyAlignment="1" applyProtection="1">
      <alignment horizontal="left" vertical="center"/>
      <protection locked="0"/>
    </xf>
    <xf numFmtId="0" fontId="26" fillId="2" borderId="1" xfId="8" quotePrefix="1" applyFont="1" applyFill="1" applyBorder="1" applyAlignment="1" applyProtection="1">
      <alignment horizontal="center" vertical="center"/>
      <protection hidden="1"/>
    </xf>
    <xf numFmtId="0" fontId="26" fillId="2" borderId="11" xfId="8" quotePrefix="1" applyFont="1" applyFill="1" applyBorder="1" applyAlignment="1" applyProtection="1">
      <alignment horizontal="center" vertical="center"/>
      <protection hidden="1"/>
    </xf>
    <xf numFmtId="0" fontId="25" fillId="3" borderId="2" xfId="8" quotePrefix="1" applyFill="1" applyBorder="1" applyAlignment="1" applyProtection="1">
      <alignment horizontal="justify" vertical="center" wrapText="1"/>
      <protection hidden="1"/>
    </xf>
    <xf numFmtId="0" fontId="25" fillId="3" borderId="5" xfId="8" quotePrefix="1" applyFill="1" applyBorder="1" applyAlignment="1" applyProtection="1">
      <alignment horizontal="justify" vertical="center" wrapText="1"/>
      <protection hidden="1"/>
    </xf>
    <xf numFmtId="0" fontId="25" fillId="3" borderId="3" xfId="8" quotePrefix="1" applyFill="1" applyBorder="1" applyAlignment="1" applyProtection="1">
      <alignment horizontal="justify" vertical="center" wrapText="1"/>
      <protection hidden="1"/>
    </xf>
    <xf numFmtId="0" fontId="25" fillId="3" borderId="12" xfId="8" quotePrefix="1" applyFill="1" applyBorder="1" applyAlignment="1" applyProtection="1">
      <alignment horizontal="justify" vertical="center" wrapText="1"/>
      <protection hidden="1"/>
    </xf>
    <xf numFmtId="0" fontId="25" fillId="3" borderId="0" xfId="8" quotePrefix="1" applyFill="1" applyAlignment="1" applyProtection="1">
      <alignment horizontal="justify" vertical="center" wrapText="1"/>
      <protection hidden="1"/>
    </xf>
    <xf numFmtId="0" fontId="25" fillId="3" borderId="24" xfId="8" quotePrefix="1" applyFill="1" applyBorder="1" applyAlignment="1" applyProtection="1">
      <alignment horizontal="justify" vertical="center" wrapText="1"/>
      <protection hidden="1"/>
    </xf>
    <xf numFmtId="0" fontId="1" fillId="5" borderId="1" xfId="0" applyFont="1" applyFill="1" applyBorder="1" applyAlignment="1" applyProtection="1">
      <alignment horizontal="center" vertical="center"/>
      <protection locked="0"/>
    </xf>
    <xf numFmtId="0" fontId="1" fillId="6" borderId="11" xfId="0" applyFont="1" applyFill="1" applyBorder="1" applyAlignment="1" applyProtection="1">
      <alignment horizontal="center" vertical="center"/>
      <protection locked="0"/>
    </xf>
    <xf numFmtId="0" fontId="1" fillId="2" borderId="1" xfId="0" applyFont="1" applyFill="1" applyBorder="1" applyAlignment="1" applyProtection="1">
      <alignment horizontal="left" vertical="center"/>
      <protection hidden="1"/>
    </xf>
    <xf numFmtId="0" fontId="13" fillId="36" borderId="1" xfId="0" applyFont="1" applyFill="1" applyBorder="1" applyAlignment="1" applyProtection="1">
      <alignment horizontal="center" vertical="center"/>
      <protection hidden="1"/>
    </xf>
    <xf numFmtId="0" fontId="13" fillId="35" borderId="1" xfId="0" applyFont="1" applyFill="1" applyBorder="1" applyAlignment="1" applyProtection="1">
      <alignment horizontal="center" vertical="center"/>
      <protection hidden="1"/>
    </xf>
    <xf numFmtId="0" fontId="1" fillId="25" borderId="1" xfId="0" applyFont="1" applyFill="1" applyBorder="1" applyAlignment="1" applyProtection="1">
      <alignment horizontal="left" vertical="center"/>
      <protection hidden="1"/>
    </xf>
    <xf numFmtId="0" fontId="0" fillId="37" borderId="1" xfId="0" applyFill="1" applyBorder="1" applyAlignment="1" applyProtection="1">
      <alignment horizontal="center" vertical="center"/>
      <protection locked="0"/>
    </xf>
    <xf numFmtId="0" fontId="0" fillId="37" borderId="1" xfId="0" applyFill="1" applyBorder="1" applyAlignment="1" applyProtection="1">
      <alignment horizontal="center" vertical="center"/>
      <protection hidden="1"/>
    </xf>
    <xf numFmtId="0" fontId="0" fillId="3" borderId="12" xfId="0" applyFill="1" applyBorder="1" applyAlignment="1" applyProtection="1">
      <alignment horizontal="left" vertical="center" wrapText="1" indent="2"/>
      <protection hidden="1"/>
    </xf>
    <xf numFmtId="0" fontId="0" fillId="3" borderId="0" xfId="0" applyFill="1" applyAlignment="1" applyProtection="1">
      <alignment horizontal="left" vertical="center" wrapText="1" indent="2"/>
      <protection hidden="1"/>
    </xf>
    <xf numFmtId="0" fontId="0" fillId="3" borderId="24" xfId="0" applyFill="1" applyBorder="1" applyAlignment="1" applyProtection="1">
      <alignment horizontal="left" vertical="center" wrapText="1" indent="2"/>
      <protection hidden="1"/>
    </xf>
    <xf numFmtId="0" fontId="0" fillId="3" borderId="6" xfId="0" applyFill="1" applyBorder="1" applyAlignment="1" applyProtection="1">
      <alignment horizontal="left" vertical="center" wrapText="1" indent="2"/>
      <protection hidden="1"/>
    </xf>
    <xf numFmtId="0" fontId="0" fillId="3" borderId="7" xfId="0" applyFill="1" applyBorder="1" applyAlignment="1" applyProtection="1">
      <alignment horizontal="left" vertical="center" wrapText="1" indent="2"/>
      <protection hidden="1"/>
    </xf>
    <xf numFmtId="0" fontId="0" fillId="3" borderId="4" xfId="0" applyFill="1" applyBorder="1" applyAlignment="1" applyProtection="1">
      <alignment horizontal="left" vertical="center" wrapText="1" indent="2"/>
      <protection hidden="1"/>
    </xf>
    <xf numFmtId="0" fontId="1" fillId="2" borderId="8" xfId="0" applyFont="1" applyFill="1" applyBorder="1" applyAlignment="1" applyProtection="1">
      <alignment horizontal="center"/>
      <protection hidden="1"/>
    </xf>
    <xf numFmtId="0" fontId="1" fillId="2" borderId="9" xfId="0" applyFont="1" applyFill="1" applyBorder="1" applyAlignment="1" applyProtection="1">
      <alignment horizontal="center"/>
      <protection hidden="1"/>
    </xf>
    <xf numFmtId="0" fontId="1" fillId="2" borderId="10" xfId="0" applyFont="1" applyFill="1" applyBorder="1" applyAlignment="1" applyProtection="1">
      <alignment horizontal="center"/>
      <protection hidden="1"/>
    </xf>
    <xf numFmtId="0" fontId="1" fillId="25" borderId="11" xfId="0" applyFont="1" applyFill="1" applyBorder="1" applyAlignment="1" applyProtection="1">
      <alignment horizontal="center" vertical="center" wrapText="1"/>
      <protection hidden="1"/>
    </xf>
    <xf numFmtId="0" fontId="1" fillId="25" borderId="21" xfId="0" applyFont="1" applyFill="1" applyBorder="1" applyAlignment="1" applyProtection="1">
      <alignment horizontal="center" vertical="center"/>
      <protection hidden="1"/>
    </xf>
    <xf numFmtId="0" fontId="1" fillId="25" borderId="1" xfId="0" applyFont="1" applyFill="1" applyBorder="1" applyAlignment="1" applyProtection="1">
      <alignment horizontal="center"/>
      <protection hidden="1"/>
    </xf>
    <xf numFmtId="0" fontId="0" fillId="3" borderId="1" xfId="0" applyFill="1" applyBorder="1" applyAlignment="1" applyProtection="1">
      <alignment horizontal="left" vertical="center" indent="1"/>
      <protection hidden="1"/>
    </xf>
    <xf numFmtId="0" fontId="0" fillId="3" borderId="11" xfId="0" applyFill="1" applyBorder="1" applyAlignment="1" applyProtection="1">
      <alignment horizontal="left" vertical="center" indent="1"/>
      <protection hidden="1"/>
    </xf>
    <xf numFmtId="0" fontId="0" fillId="35" borderId="8" xfId="0" applyFill="1" applyBorder="1" applyAlignment="1" applyProtection="1">
      <alignment horizontal="left" vertical="center"/>
      <protection hidden="1"/>
    </xf>
    <xf numFmtId="0" fontId="0" fillId="35" borderId="9" xfId="0" applyFill="1" applyBorder="1" applyAlignment="1" applyProtection="1">
      <alignment horizontal="left" vertical="center"/>
      <protection hidden="1"/>
    </xf>
    <xf numFmtId="0" fontId="13" fillId="15" borderId="8" xfId="0" applyFont="1" applyFill="1" applyBorder="1" applyAlignment="1" applyProtection="1">
      <alignment horizontal="left" vertical="center"/>
      <protection hidden="1"/>
    </xf>
    <xf numFmtId="0" fontId="13" fillId="15" borderId="9" xfId="0" applyFont="1" applyFill="1" applyBorder="1" applyAlignment="1" applyProtection="1">
      <alignment horizontal="left" vertical="center"/>
      <protection hidden="1"/>
    </xf>
    <xf numFmtId="0" fontId="13" fillId="15" borderId="10" xfId="0" applyFont="1" applyFill="1" applyBorder="1" applyAlignment="1" applyProtection="1">
      <alignment horizontal="left" vertical="center"/>
      <protection hidden="1"/>
    </xf>
    <xf numFmtId="0" fontId="0" fillId="0" borderId="1" xfId="0" applyBorder="1" applyAlignment="1" applyProtection="1">
      <alignment horizontal="left" vertical="center" indent="2"/>
      <protection hidden="1"/>
    </xf>
    <xf numFmtId="0" fontId="0" fillId="4" borderId="1" xfId="0" applyFill="1" applyBorder="1" applyAlignment="1" applyProtection="1">
      <alignment horizontal="left" vertical="center" wrapText="1"/>
      <protection locked="0"/>
    </xf>
    <xf numFmtId="0" fontId="0" fillId="25" borderId="1" xfId="0" applyFill="1" applyBorder="1" applyAlignment="1" applyProtection="1">
      <alignment horizontal="left" vertical="center" wrapText="1"/>
      <protection hidden="1"/>
    </xf>
    <xf numFmtId="0" fontId="0" fillId="4" borderId="1" xfId="0" applyFill="1" applyBorder="1" applyAlignment="1" applyProtection="1">
      <alignment horizontal="justify" vertical="center" wrapText="1"/>
      <protection locked="0"/>
    </xf>
    <xf numFmtId="0" fontId="1" fillId="38" borderId="1" xfId="0" applyFont="1" applyFill="1" applyBorder="1" applyAlignment="1" applyProtection="1">
      <alignment horizontal="left" indent="1"/>
      <protection hidden="1"/>
    </xf>
    <xf numFmtId="0" fontId="1" fillId="39" borderId="1" xfId="0" applyFont="1" applyFill="1" applyBorder="1" applyAlignment="1" applyProtection="1">
      <alignment horizontal="center" vertical="center" wrapText="1"/>
      <protection locked="0"/>
    </xf>
    <xf numFmtId="0" fontId="1" fillId="39" borderId="1" xfId="0" applyFont="1" applyFill="1" applyBorder="1" applyAlignment="1" applyProtection="1">
      <alignment horizontal="center" vertical="center" wrapText="1"/>
      <protection hidden="1"/>
    </xf>
    <xf numFmtId="0" fontId="1" fillId="25" borderId="1" xfId="0" applyFont="1" applyFill="1" applyBorder="1" applyAlignment="1" applyProtection="1">
      <alignment horizontal="left"/>
      <protection hidden="1"/>
    </xf>
    <xf numFmtId="0" fontId="1" fillId="38" borderId="1" xfId="0" applyFont="1" applyFill="1" applyBorder="1" applyAlignment="1" applyProtection="1">
      <alignment horizontal="left" vertical="center" indent="1"/>
      <protection hidden="1"/>
    </xf>
    <xf numFmtId="0" fontId="31" fillId="14" borderId="1" xfId="0" applyFont="1" applyFill="1" applyBorder="1" applyAlignment="1" applyProtection="1">
      <alignment horizontal="left"/>
      <protection hidden="1"/>
    </xf>
    <xf numFmtId="0" fontId="31" fillId="40" borderId="1" xfId="0" applyFont="1" applyFill="1" applyBorder="1" applyAlignment="1" applyProtection="1">
      <alignment horizontal="center" vertical="center" wrapText="1"/>
      <protection locked="0"/>
    </xf>
    <xf numFmtId="0" fontId="31" fillId="40" borderId="1" xfId="0" applyFont="1" applyFill="1" applyBorder="1" applyAlignment="1" applyProtection="1">
      <alignment horizontal="center" vertical="center" wrapText="1"/>
      <protection hidden="1"/>
    </xf>
    <xf numFmtId="0" fontId="0" fillId="4" borderId="8" xfId="0" applyFill="1" applyBorder="1" applyAlignment="1" applyProtection="1">
      <alignment horizontal="left" vertical="center" wrapText="1"/>
      <protection locked="0"/>
    </xf>
    <xf numFmtId="0" fontId="0" fillId="4" borderId="9" xfId="0" applyFill="1" applyBorder="1" applyAlignment="1" applyProtection="1">
      <alignment horizontal="left" vertical="center" wrapText="1"/>
      <protection locked="0"/>
    </xf>
    <xf numFmtId="0" fontId="0" fillId="4" borderId="10" xfId="0" applyFill="1" applyBorder="1" applyAlignment="1" applyProtection="1">
      <alignment horizontal="left" vertical="center" wrapText="1"/>
      <protection locked="0"/>
    </xf>
    <xf numFmtId="0" fontId="0" fillId="25" borderId="8" xfId="0" applyFill="1" applyBorder="1" applyAlignment="1" applyProtection="1">
      <alignment horizontal="left" vertical="center" wrapText="1"/>
      <protection hidden="1"/>
    </xf>
    <xf numFmtId="0" fontId="0" fillId="25" borderId="9" xfId="0" applyFill="1" applyBorder="1" applyAlignment="1" applyProtection="1">
      <alignment horizontal="left" vertical="center" wrapText="1"/>
      <protection hidden="1"/>
    </xf>
    <xf numFmtId="0" fontId="0" fillId="25" borderId="10" xfId="0" applyFill="1" applyBorder="1" applyAlignment="1" applyProtection="1">
      <alignment horizontal="left" vertical="center" wrapText="1"/>
      <protection hidden="1"/>
    </xf>
    <xf numFmtId="0" fontId="0" fillId="4" borderId="8" xfId="0" applyFill="1" applyBorder="1" applyAlignment="1" applyProtection="1">
      <alignment horizontal="justify" vertical="center" wrapText="1"/>
      <protection locked="0"/>
    </xf>
    <xf numFmtId="0" fontId="0" fillId="4" borderId="9" xfId="0" applyFill="1" applyBorder="1" applyAlignment="1" applyProtection="1">
      <alignment horizontal="justify" vertical="center" wrapText="1"/>
      <protection locked="0"/>
    </xf>
    <xf numFmtId="0" fontId="0" fillId="4" borderId="10" xfId="0" applyFill="1" applyBorder="1" applyAlignment="1" applyProtection="1">
      <alignment horizontal="justify" vertical="center" wrapText="1"/>
      <protection locked="0"/>
    </xf>
    <xf numFmtId="0" fontId="31" fillId="14" borderId="1" xfId="0" applyFont="1" applyFill="1" applyBorder="1" applyAlignment="1" applyProtection="1">
      <alignment horizontal="left" vertical="center"/>
      <protection hidden="1"/>
    </xf>
    <xf numFmtId="0" fontId="0" fillId="18" borderId="1" xfId="0" applyFill="1" applyBorder="1" applyAlignment="1" applyProtection="1">
      <alignment horizontal="justify" vertical="center" wrapText="1"/>
      <protection locked="0"/>
    </xf>
    <xf numFmtId="0" fontId="33" fillId="13" borderId="2" xfId="0" applyFont="1" applyFill="1" applyBorder="1" applyAlignment="1" applyProtection="1">
      <alignment horizontal="center" vertical="center"/>
      <protection hidden="1"/>
    </xf>
    <xf numFmtId="0" fontId="33" fillId="13" borderId="5" xfId="0" applyFont="1" applyFill="1" applyBorder="1" applyAlignment="1" applyProtection="1">
      <alignment horizontal="center" vertical="center"/>
      <protection hidden="1"/>
    </xf>
    <xf numFmtId="0" fontId="33" fillId="13" borderId="3" xfId="0" applyFont="1" applyFill="1" applyBorder="1" applyAlignment="1" applyProtection="1">
      <alignment horizontal="center" vertical="center"/>
      <protection hidden="1"/>
    </xf>
    <xf numFmtId="0" fontId="33" fillId="13" borderId="12" xfId="0" applyFont="1" applyFill="1" applyBorder="1" applyAlignment="1" applyProtection="1">
      <alignment horizontal="center" vertical="center"/>
      <protection hidden="1"/>
    </xf>
    <xf numFmtId="0" fontId="33" fillId="13" borderId="0" xfId="0" applyFont="1" applyFill="1" applyAlignment="1" applyProtection="1">
      <alignment horizontal="center" vertical="center"/>
      <protection hidden="1"/>
    </xf>
    <xf numFmtId="0" fontId="33" fillId="13" borderId="24" xfId="0" applyFont="1" applyFill="1" applyBorder="1" applyAlignment="1" applyProtection="1">
      <alignment horizontal="center" vertical="center"/>
      <protection hidden="1"/>
    </xf>
    <xf numFmtId="0" fontId="34" fillId="2" borderId="25" xfId="0" applyFont="1" applyFill="1" applyBorder="1" applyAlignment="1" applyProtection="1">
      <alignment horizontal="center" vertical="center" wrapText="1"/>
      <protection hidden="1"/>
    </xf>
    <xf numFmtId="0" fontId="34" fillId="2" borderId="29" xfId="0" applyFont="1" applyFill="1" applyBorder="1" applyAlignment="1" applyProtection="1">
      <alignment horizontal="center" vertical="center" wrapText="1"/>
      <protection hidden="1"/>
    </xf>
    <xf numFmtId="0" fontId="34" fillId="2" borderId="26" xfId="0" applyFont="1" applyFill="1" applyBorder="1" applyAlignment="1" applyProtection="1">
      <alignment horizontal="center" vertical="center" wrapText="1"/>
      <protection hidden="1"/>
    </xf>
    <xf numFmtId="0" fontId="34" fillId="2" borderId="30" xfId="0" applyFont="1" applyFill="1" applyBorder="1" applyAlignment="1" applyProtection="1">
      <alignment horizontal="center" vertical="center" wrapText="1"/>
      <protection hidden="1"/>
    </xf>
    <xf numFmtId="0" fontId="34" fillId="2" borderId="27" xfId="0" applyFont="1" applyFill="1" applyBorder="1" applyAlignment="1" applyProtection="1">
      <alignment horizontal="center" vertical="center" wrapText="1"/>
      <protection hidden="1"/>
    </xf>
    <xf numFmtId="0" fontId="34" fillId="2" borderId="28" xfId="0" applyFont="1" applyFill="1" applyBorder="1" applyAlignment="1" applyProtection="1">
      <alignment horizontal="center" vertical="center" wrapText="1"/>
      <protection hidden="1"/>
    </xf>
    <xf numFmtId="0" fontId="34" fillId="2" borderId="31" xfId="0" applyFont="1" applyFill="1" applyBorder="1" applyAlignment="1" applyProtection="1">
      <alignment horizontal="center" vertical="center" wrapText="1"/>
      <protection hidden="1"/>
    </xf>
    <xf numFmtId="0" fontId="34" fillId="2" borderId="32" xfId="0" applyFont="1" applyFill="1" applyBorder="1" applyAlignment="1" applyProtection="1">
      <alignment horizontal="center" vertical="center" wrapText="1"/>
      <protection hidden="1"/>
    </xf>
    <xf numFmtId="0" fontId="39" fillId="13" borderId="7" xfId="0" applyFont="1" applyFill="1" applyBorder="1" applyAlignment="1" applyProtection="1">
      <alignment horizontal="left" vertical="center" wrapText="1"/>
      <protection hidden="1"/>
    </xf>
    <xf numFmtId="0" fontId="39" fillId="13" borderId="20" xfId="0" applyFont="1" applyFill="1" applyBorder="1" applyAlignment="1" applyProtection="1">
      <alignment horizontal="left" vertical="center" wrapText="1"/>
      <protection hidden="1"/>
    </xf>
    <xf numFmtId="0" fontId="41" fillId="14" borderId="34" xfId="0" applyFont="1" applyFill="1" applyBorder="1" applyAlignment="1" applyProtection="1">
      <alignment horizontal="left" vertical="center" wrapText="1" indent="3"/>
      <protection hidden="1"/>
    </xf>
    <xf numFmtId="0" fontId="41" fillId="14" borderId="33" xfId="0" applyFont="1" applyFill="1" applyBorder="1" applyAlignment="1" applyProtection="1">
      <alignment horizontal="left" vertical="center" wrapText="1" indent="3"/>
      <protection hidden="1"/>
    </xf>
    <xf numFmtId="0" fontId="41" fillId="14" borderId="11" xfId="0" applyFont="1" applyFill="1" applyBorder="1" applyAlignment="1" applyProtection="1">
      <alignment horizontal="center" vertical="center" wrapText="1"/>
      <protection hidden="1"/>
    </xf>
    <xf numFmtId="0" fontId="41" fillId="14" borderId="21" xfId="0" applyFont="1" applyFill="1" applyBorder="1" applyAlignment="1" applyProtection="1">
      <alignment horizontal="center" vertical="center" wrapText="1"/>
      <protection hidden="1"/>
    </xf>
    <xf numFmtId="0" fontId="41" fillId="14" borderId="5" xfId="0" applyFont="1" applyFill="1" applyBorder="1" applyAlignment="1" applyProtection="1">
      <alignment horizontal="left" vertical="center" wrapText="1"/>
      <protection hidden="1"/>
    </xf>
    <xf numFmtId="0" fontId="41" fillId="14" borderId="35" xfId="0" applyFont="1" applyFill="1" applyBorder="1" applyAlignment="1" applyProtection="1">
      <alignment horizontal="left" vertical="center" wrapText="1"/>
      <protection hidden="1"/>
    </xf>
    <xf numFmtId="0" fontId="43" fillId="14" borderId="7" xfId="0" applyFont="1" applyFill="1" applyBorder="1" applyAlignment="1" applyProtection="1">
      <alignment horizontal="left" vertical="center" wrapText="1"/>
      <protection hidden="1"/>
    </xf>
    <xf numFmtId="0" fontId="43" fillId="14" borderId="20" xfId="0" applyFont="1" applyFill="1" applyBorder="1" applyAlignment="1" applyProtection="1">
      <alignment horizontal="left" vertical="center" wrapText="1"/>
      <protection hidden="1"/>
    </xf>
    <xf numFmtId="0" fontId="44" fillId="41" borderId="1" xfId="7" quotePrefix="1" applyFont="1" applyFill="1" applyBorder="1" applyAlignment="1" applyProtection="1">
      <alignment horizontal="center" vertical="center"/>
      <protection hidden="1"/>
    </xf>
    <xf numFmtId="0" fontId="45" fillId="42" borderId="34" xfId="0" applyFont="1" applyFill="1" applyBorder="1" applyAlignment="1" applyProtection="1">
      <alignment horizontal="left" vertical="center" wrapText="1" indent="3"/>
      <protection hidden="1"/>
    </xf>
    <xf numFmtId="0" fontId="45" fillId="42" borderId="33" xfId="0" applyFont="1" applyFill="1" applyBorder="1" applyAlignment="1" applyProtection="1">
      <alignment horizontal="left" vertical="center" wrapText="1" indent="3"/>
      <protection hidden="1"/>
    </xf>
    <xf numFmtId="0" fontId="45" fillId="42" borderId="11" xfId="0" applyFont="1" applyFill="1" applyBorder="1" applyAlignment="1" applyProtection="1">
      <alignment horizontal="center" vertical="center" wrapText="1"/>
      <protection hidden="1"/>
    </xf>
    <xf numFmtId="0" fontId="45" fillId="42" borderId="21" xfId="0" applyFont="1" applyFill="1" applyBorder="1" applyAlignment="1" applyProtection="1">
      <alignment horizontal="center" vertical="center" wrapText="1"/>
      <protection hidden="1"/>
    </xf>
    <xf numFmtId="0" fontId="45" fillId="42" borderId="5" xfId="0" applyFont="1" applyFill="1" applyBorder="1" applyAlignment="1" applyProtection="1">
      <alignment horizontal="left" vertical="center" wrapText="1"/>
      <protection hidden="1"/>
    </xf>
    <xf numFmtId="0" fontId="45" fillId="42" borderId="35" xfId="0" applyFont="1" applyFill="1" applyBorder="1" applyAlignment="1" applyProtection="1">
      <alignment horizontal="left" vertical="center" wrapText="1"/>
      <protection hidden="1"/>
    </xf>
    <xf numFmtId="0" fontId="47" fillId="42" borderId="7" xfId="0" applyFont="1" applyFill="1" applyBorder="1" applyAlignment="1" applyProtection="1">
      <alignment horizontal="left" vertical="center" wrapText="1"/>
      <protection hidden="1"/>
    </xf>
    <xf numFmtId="0" fontId="47" fillId="42" borderId="20" xfId="0" applyFont="1" applyFill="1" applyBorder="1" applyAlignment="1" applyProtection="1">
      <alignment horizontal="left" vertical="center" wrapText="1"/>
      <protection hidden="1"/>
    </xf>
    <xf numFmtId="0" fontId="4" fillId="14" borderId="2" xfId="0" quotePrefix="1" applyFont="1" applyFill="1" applyBorder="1" applyAlignment="1" applyProtection="1">
      <alignment horizontal="justify" vertical="center" wrapText="1"/>
      <protection hidden="1"/>
    </xf>
    <xf numFmtId="0" fontId="4" fillId="14" borderId="5" xfId="0" quotePrefix="1" applyFont="1" applyFill="1" applyBorder="1" applyAlignment="1" applyProtection="1">
      <alignment horizontal="justify" vertical="center" wrapText="1"/>
      <protection hidden="1"/>
    </xf>
    <xf numFmtId="0" fontId="4" fillId="14" borderId="3" xfId="0" quotePrefix="1" applyFont="1" applyFill="1" applyBorder="1" applyAlignment="1" applyProtection="1">
      <alignment horizontal="justify" vertical="center" wrapText="1"/>
      <protection hidden="1"/>
    </xf>
    <xf numFmtId="0" fontId="4" fillId="14" borderId="12" xfId="0" quotePrefix="1" applyFont="1" applyFill="1" applyBorder="1" applyAlignment="1" applyProtection="1">
      <alignment horizontal="justify" vertical="center" wrapText="1"/>
      <protection hidden="1"/>
    </xf>
    <xf numFmtId="0" fontId="4" fillId="14" borderId="0" xfId="0" quotePrefix="1" applyFont="1" applyFill="1" applyAlignment="1" applyProtection="1">
      <alignment horizontal="justify" vertical="center" wrapText="1"/>
      <protection hidden="1"/>
    </xf>
    <xf numFmtId="0" fontId="4" fillId="14" borderId="24" xfId="0" quotePrefix="1" applyFont="1" applyFill="1" applyBorder="1" applyAlignment="1" applyProtection="1">
      <alignment horizontal="justify" vertical="center" wrapText="1"/>
      <protection hidden="1"/>
    </xf>
    <xf numFmtId="0" fontId="4" fillId="14" borderId="6" xfId="0" quotePrefix="1" applyFont="1" applyFill="1" applyBorder="1" applyAlignment="1" applyProtection="1">
      <alignment horizontal="justify" vertical="center" wrapText="1"/>
      <protection hidden="1"/>
    </xf>
    <xf numFmtId="0" fontId="4" fillId="14" borderId="7" xfId="0" quotePrefix="1" applyFont="1" applyFill="1" applyBorder="1" applyAlignment="1" applyProtection="1">
      <alignment horizontal="justify" vertical="center" wrapText="1"/>
      <protection hidden="1"/>
    </xf>
    <xf numFmtId="0" fontId="4" fillId="14" borderId="4" xfId="0" quotePrefix="1" applyFont="1" applyFill="1" applyBorder="1" applyAlignment="1" applyProtection="1">
      <alignment horizontal="justify" vertical="center" wrapText="1"/>
      <protection hidden="1"/>
    </xf>
    <xf numFmtId="0" fontId="37" fillId="18" borderId="7" xfId="0" applyFont="1" applyFill="1" applyBorder="1" applyAlignment="1" applyProtection="1">
      <alignment horizontal="left" vertical="center" wrapText="1"/>
      <protection hidden="1"/>
    </xf>
    <xf numFmtId="0" fontId="37" fillId="18" borderId="20" xfId="0" applyFont="1" applyFill="1" applyBorder="1" applyAlignment="1" applyProtection="1">
      <alignment horizontal="left" vertical="center" wrapText="1"/>
      <protection hidden="1"/>
    </xf>
    <xf numFmtId="0" fontId="37" fillId="18" borderId="5" xfId="0" applyFont="1" applyFill="1" applyBorder="1" applyAlignment="1" applyProtection="1">
      <alignment horizontal="left" vertical="center" wrapText="1"/>
      <protection hidden="1"/>
    </xf>
    <xf numFmtId="0" fontId="37" fillId="18" borderId="35" xfId="0" applyFont="1" applyFill="1" applyBorder="1" applyAlignment="1" applyProtection="1">
      <alignment horizontal="left" vertical="center" wrapText="1"/>
      <protection hidden="1"/>
    </xf>
    <xf numFmtId="0" fontId="38" fillId="18" borderId="34" xfId="0" applyFont="1" applyFill="1" applyBorder="1" applyAlignment="1" applyProtection="1">
      <alignment horizontal="left" vertical="center" wrapText="1" indent="3"/>
      <protection hidden="1"/>
    </xf>
    <xf numFmtId="0" fontId="38" fillId="18" borderId="36" xfId="0" applyFont="1" applyFill="1" applyBorder="1" applyAlignment="1" applyProtection="1">
      <alignment horizontal="left" vertical="center" wrapText="1" indent="3"/>
      <protection hidden="1"/>
    </xf>
    <xf numFmtId="0" fontId="38" fillId="18" borderId="11" xfId="0" applyFont="1" applyFill="1" applyBorder="1" applyAlignment="1" applyProtection="1">
      <alignment horizontal="center" vertical="center" wrapText="1"/>
      <protection hidden="1"/>
    </xf>
    <xf numFmtId="0" fontId="38" fillId="18" borderId="22" xfId="0" applyFont="1" applyFill="1" applyBorder="1" applyAlignment="1" applyProtection="1">
      <alignment horizontal="center" vertical="center" wrapText="1"/>
      <protection hidden="1"/>
    </xf>
    <xf numFmtId="0" fontId="38" fillId="18" borderId="5" xfId="0" applyFont="1" applyFill="1" applyBorder="1" applyAlignment="1" applyProtection="1">
      <alignment horizontal="left" vertical="center" wrapText="1"/>
      <protection hidden="1"/>
    </xf>
    <xf numFmtId="0" fontId="38" fillId="18" borderId="35" xfId="0" applyFont="1" applyFill="1" applyBorder="1" applyAlignment="1" applyProtection="1">
      <alignment horizontal="left" vertical="center" wrapText="1"/>
      <protection hidden="1"/>
    </xf>
    <xf numFmtId="0" fontId="38" fillId="18" borderId="0" xfId="0" applyFont="1" applyFill="1" applyAlignment="1" applyProtection="1">
      <alignment horizontal="left" vertical="center" wrapText="1"/>
      <protection hidden="1"/>
    </xf>
    <xf numFmtId="0" fontId="38" fillId="18" borderId="16" xfId="0" applyFont="1" applyFill="1" applyBorder="1" applyAlignment="1" applyProtection="1">
      <alignment horizontal="left" vertical="center" wrapText="1"/>
      <protection hidden="1"/>
    </xf>
    <xf numFmtId="0" fontId="38" fillId="13" borderId="34" xfId="0" applyFont="1" applyFill="1" applyBorder="1" applyAlignment="1" applyProtection="1">
      <alignment horizontal="left" vertical="center" wrapText="1" indent="3"/>
      <protection hidden="1"/>
    </xf>
    <xf numFmtId="0" fontId="38" fillId="13" borderId="33" xfId="0" applyFont="1" applyFill="1" applyBorder="1" applyAlignment="1" applyProtection="1">
      <alignment horizontal="left" vertical="center" wrapText="1" indent="3"/>
      <protection hidden="1"/>
    </xf>
    <xf numFmtId="0" fontId="38" fillId="13" borderId="11" xfId="0" applyFont="1" applyFill="1" applyBorder="1" applyAlignment="1" applyProtection="1">
      <alignment horizontal="center" vertical="center" wrapText="1"/>
      <protection hidden="1"/>
    </xf>
    <xf numFmtId="0" fontId="38" fillId="13" borderId="21" xfId="0" applyFont="1" applyFill="1" applyBorder="1" applyAlignment="1" applyProtection="1">
      <alignment horizontal="center" vertical="center" wrapText="1"/>
      <protection hidden="1"/>
    </xf>
    <xf numFmtId="0" fontId="38" fillId="13" borderId="5" xfId="0" applyFont="1" applyFill="1" applyBorder="1" applyAlignment="1" applyProtection="1">
      <alignment horizontal="left" vertical="center" wrapText="1"/>
      <protection hidden="1"/>
    </xf>
    <xf numFmtId="0" fontId="38" fillId="13" borderId="35" xfId="0" applyFont="1" applyFill="1" applyBorder="1" applyAlignment="1" applyProtection="1">
      <alignment horizontal="left" vertical="center" wrapText="1"/>
      <protection hidden="1"/>
    </xf>
    <xf numFmtId="0" fontId="50" fillId="43" borderId="11" xfId="0" applyFont="1" applyFill="1" applyBorder="1" applyAlignment="1" applyProtection="1">
      <alignment horizontal="center" vertical="center" wrapText="1"/>
      <protection hidden="1"/>
    </xf>
    <xf numFmtId="0" fontId="50" fillId="43" borderId="21" xfId="0" applyFont="1" applyFill="1" applyBorder="1" applyAlignment="1" applyProtection="1">
      <alignment horizontal="center" vertical="center" wrapText="1"/>
      <protection hidden="1"/>
    </xf>
    <xf numFmtId="0" fontId="50" fillId="43" borderId="5" xfId="0" applyFont="1" applyFill="1" applyBorder="1" applyAlignment="1" applyProtection="1">
      <alignment horizontal="left" vertical="center" wrapText="1"/>
      <protection hidden="1"/>
    </xf>
    <xf numFmtId="0" fontId="50" fillId="43" borderId="35" xfId="0" applyFont="1" applyFill="1" applyBorder="1" applyAlignment="1" applyProtection="1">
      <alignment horizontal="left" vertical="center" wrapText="1"/>
      <protection hidden="1"/>
    </xf>
    <xf numFmtId="0" fontId="52" fillId="43" borderId="7" xfId="0" applyFont="1" applyFill="1" applyBorder="1" applyAlignment="1" applyProtection="1">
      <alignment horizontal="left" vertical="center" wrapText="1"/>
      <protection hidden="1"/>
    </xf>
    <xf numFmtId="0" fontId="52" fillId="43" borderId="20" xfId="0" applyFont="1" applyFill="1" applyBorder="1" applyAlignment="1" applyProtection="1">
      <alignment horizontal="left" vertical="center" wrapText="1"/>
      <protection hidden="1"/>
    </xf>
    <xf numFmtId="0" fontId="50" fillId="43" borderId="34" xfId="0" applyFont="1" applyFill="1" applyBorder="1" applyAlignment="1" applyProtection="1">
      <alignment horizontal="left" vertical="center" wrapText="1" indent="3"/>
      <protection hidden="1"/>
    </xf>
    <xf numFmtId="0" fontId="50" fillId="43" borderId="33" xfId="0" applyFont="1" applyFill="1" applyBorder="1" applyAlignment="1" applyProtection="1">
      <alignment horizontal="left" vertical="center" wrapText="1" indent="3"/>
      <protection hidden="1"/>
    </xf>
    <xf numFmtId="0" fontId="23" fillId="34" borderId="2" xfId="7" quotePrefix="1" applyBorder="1" applyAlignment="1" applyProtection="1">
      <alignment horizontal="justify" vertical="center" wrapText="1"/>
      <protection hidden="1"/>
    </xf>
    <xf numFmtId="0" fontId="23" fillId="34" borderId="5" xfId="7" quotePrefix="1" applyBorder="1" applyAlignment="1" applyProtection="1">
      <alignment horizontal="justify" vertical="center" wrapText="1"/>
      <protection hidden="1"/>
    </xf>
    <xf numFmtId="0" fontId="23" fillId="34" borderId="3" xfId="7" quotePrefix="1" applyBorder="1" applyAlignment="1" applyProtection="1">
      <alignment horizontal="justify" vertical="center" wrapText="1"/>
      <protection hidden="1"/>
    </xf>
    <xf numFmtId="0" fontId="23" fillId="34" borderId="12" xfId="7" quotePrefix="1" applyBorder="1" applyAlignment="1" applyProtection="1">
      <alignment horizontal="justify" vertical="center" wrapText="1"/>
      <protection hidden="1"/>
    </xf>
    <xf numFmtId="0" fontId="23" fillId="34" borderId="0" xfId="7" quotePrefix="1" applyBorder="1" applyAlignment="1" applyProtection="1">
      <alignment horizontal="justify" vertical="center" wrapText="1"/>
      <protection hidden="1"/>
    </xf>
    <xf numFmtId="0" fontId="23" fillId="34" borderId="24" xfId="7" quotePrefix="1" applyBorder="1" applyAlignment="1" applyProtection="1">
      <alignment horizontal="justify" vertical="center" wrapText="1"/>
      <protection hidden="1"/>
    </xf>
    <xf numFmtId="0" fontId="23" fillId="34" borderId="6" xfId="7" quotePrefix="1" applyBorder="1" applyAlignment="1" applyProtection="1">
      <alignment horizontal="justify" vertical="center" wrapText="1"/>
      <protection hidden="1"/>
    </xf>
    <xf numFmtId="0" fontId="23" fillId="34" borderId="7" xfId="7" quotePrefix="1" applyBorder="1" applyAlignment="1" applyProtection="1">
      <alignment horizontal="justify" vertical="center" wrapText="1"/>
      <protection hidden="1"/>
    </xf>
    <xf numFmtId="0" fontId="23" fillId="34" borderId="4" xfId="7" quotePrefix="1" applyBorder="1" applyAlignment="1" applyProtection="1">
      <alignment horizontal="justify" vertical="center" wrapText="1"/>
      <protection hidden="1"/>
    </xf>
    <xf numFmtId="0" fontId="45" fillId="42" borderId="36" xfId="0" applyFont="1" applyFill="1" applyBorder="1" applyAlignment="1" applyProtection="1">
      <alignment horizontal="left" vertical="center" wrapText="1" indent="3"/>
      <protection hidden="1"/>
    </xf>
    <xf numFmtId="0" fontId="45" fillId="42" borderId="22" xfId="0" applyFont="1" applyFill="1" applyBorder="1" applyAlignment="1" applyProtection="1">
      <alignment horizontal="center" vertical="center" wrapText="1"/>
      <protection hidden="1"/>
    </xf>
    <xf numFmtId="0" fontId="45" fillId="42" borderId="0" xfId="0" applyFont="1" applyFill="1" applyAlignment="1" applyProtection="1">
      <alignment horizontal="left" vertical="center" wrapText="1"/>
      <protection hidden="1"/>
    </xf>
    <xf numFmtId="0" fontId="45" fillId="42" borderId="16" xfId="0" applyFont="1" applyFill="1" applyBorder="1" applyAlignment="1" applyProtection="1">
      <alignment horizontal="left" vertical="center" wrapText="1"/>
      <protection hidden="1"/>
    </xf>
    <xf numFmtId="0" fontId="53" fillId="44" borderId="34" xfId="0" applyFont="1" applyFill="1" applyBorder="1" applyAlignment="1" applyProtection="1">
      <alignment horizontal="left" vertical="center" wrapText="1" indent="3"/>
      <protection hidden="1"/>
    </xf>
    <xf numFmtId="0" fontId="53" fillId="44" borderId="33" xfId="0" applyFont="1" applyFill="1" applyBorder="1" applyAlignment="1" applyProtection="1">
      <alignment horizontal="left" vertical="center" wrapText="1" indent="3"/>
      <protection hidden="1"/>
    </xf>
    <xf numFmtId="0" fontId="53" fillId="44" borderId="11" xfId="0" applyFont="1" applyFill="1" applyBorder="1" applyAlignment="1" applyProtection="1">
      <alignment horizontal="center" vertical="center" wrapText="1"/>
      <protection hidden="1"/>
    </xf>
    <xf numFmtId="0" fontId="53" fillId="44" borderId="21" xfId="0" applyFont="1" applyFill="1" applyBorder="1" applyAlignment="1" applyProtection="1">
      <alignment horizontal="center" vertical="center" wrapText="1"/>
      <protection hidden="1"/>
    </xf>
    <xf numFmtId="0" fontId="53" fillId="44" borderId="5" xfId="0" applyFont="1" applyFill="1" applyBorder="1" applyAlignment="1" applyProtection="1">
      <alignment horizontal="left" vertical="center" wrapText="1"/>
      <protection hidden="1"/>
    </xf>
    <xf numFmtId="0" fontId="53" fillId="44" borderId="35" xfId="0" applyFont="1" applyFill="1" applyBorder="1" applyAlignment="1" applyProtection="1">
      <alignment horizontal="left" vertical="center" wrapText="1"/>
      <protection hidden="1"/>
    </xf>
    <xf numFmtId="0" fontId="55" fillId="44" borderId="7" xfId="0" applyFont="1" applyFill="1" applyBorder="1" applyAlignment="1" applyProtection="1">
      <alignment horizontal="left" vertical="center" wrapText="1"/>
      <protection hidden="1"/>
    </xf>
    <xf numFmtId="0" fontId="55" fillId="44" borderId="20" xfId="0" applyFont="1" applyFill="1" applyBorder="1" applyAlignment="1" applyProtection="1">
      <alignment horizontal="left" vertical="center" wrapText="1"/>
      <protection hidden="1"/>
    </xf>
    <xf numFmtId="0" fontId="38" fillId="45" borderId="34" xfId="0" applyFont="1" applyFill="1" applyBorder="1" applyAlignment="1" applyProtection="1">
      <alignment horizontal="left" vertical="center" wrapText="1" indent="3"/>
      <protection hidden="1"/>
    </xf>
    <xf numFmtId="0" fontId="38" fillId="45" borderId="37" xfId="0" applyFont="1" applyFill="1" applyBorder="1" applyAlignment="1" applyProtection="1">
      <alignment horizontal="left" vertical="center" wrapText="1" indent="3"/>
      <protection hidden="1"/>
    </xf>
    <xf numFmtId="0" fontId="38" fillId="45" borderId="11" xfId="0" applyFont="1" applyFill="1" applyBorder="1" applyAlignment="1" applyProtection="1">
      <alignment horizontal="center" vertical="center" wrapText="1"/>
      <protection hidden="1"/>
    </xf>
    <xf numFmtId="0" fontId="38" fillId="45" borderId="38" xfId="0" applyFont="1" applyFill="1" applyBorder="1" applyAlignment="1" applyProtection="1">
      <alignment horizontal="center" vertical="center" wrapText="1"/>
      <protection hidden="1"/>
    </xf>
    <xf numFmtId="0" fontId="38" fillId="45" borderId="5" xfId="0" applyFont="1" applyFill="1" applyBorder="1" applyAlignment="1" applyProtection="1">
      <alignment horizontal="left" vertical="center" wrapText="1"/>
      <protection hidden="1"/>
    </xf>
    <xf numFmtId="0" fontId="38" fillId="45" borderId="35" xfId="0" applyFont="1" applyFill="1" applyBorder="1" applyAlignment="1" applyProtection="1">
      <alignment horizontal="left" vertical="center" wrapText="1"/>
      <protection hidden="1"/>
    </xf>
    <xf numFmtId="0" fontId="39" fillId="45" borderId="39" xfId="0" applyFont="1" applyFill="1" applyBorder="1" applyAlignment="1" applyProtection="1">
      <alignment horizontal="left" vertical="center" wrapText="1"/>
      <protection hidden="1"/>
    </xf>
    <xf numFmtId="0" fontId="39" fillId="45" borderId="18" xfId="0" applyFont="1" applyFill="1" applyBorder="1" applyAlignment="1" applyProtection="1">
      <alignment horizontal="left" vertical="center" wrapText="1"/>
      <protection hidden="1"/>
    </xf>
  </cellXfs>
  <cellStyles count="9">
    <cellStyle name="Insatisfaisant" xfId="1" builtinId="27"/>
    <cellStyle name="Lien hypertexte" xfId="5" builtinId="8"/>
    <cellStyle name="Milliers" xfId="6" builtinId="3"/>
    <cellStyle name="Monétaire" xfId="2" builtinId="4"/>
    <cellStyle name="Neutre" xfId="7" builtinId="28"/>
    <cellStyle name="Normal" xfId="0" builtinId="0"/>
    <cellStyle name="Normal 2" xfId="8" xr:uid="{C65FCD3C-E005-45EE-8D66-6C8E9B6638CE}"/>
    <cellStyle name="Pourcentage" xfId="3" builtinId="5"/>
    <cellStyle name="Satisfaisant" xfId="4" builtinId="26"/>
  </cellStyles>
  <dxfs count="190">
    <dxf>
      <font>
        <color theme="4" tint="0.59996337778862885"/>
      </font>
      <fill>
        <patternFill patternType="solid">
          <bgColor theme="4" tint="0.59996337778862885"/>
        </patternFill>
      </fill>
    </dxf>
    <dxf>
      <font>
        <color theme="0"/>
      </font>
      <fill>
        <patternFill>
          <bgColor rgb="FF006100"/>
        </patternFill>
      </fill>
    </dxf>
    <dxf>
      <font>
        <color rgb="FF006100"/>
      </font>
      <fill>
        <patternFill>
          <bgColor rgb="FFC6EFCE"/>
        </patternFill>
      </fill>
    </dxf>
    <dxf>
      <font>
        <color rgb="FF9C5700"/>
      </font>
      <fill>
        <patternFill>
          <bgColor rgb="FFFFEB9C"/>
        </patternFill>
      </fill>
    </dxf>
    <dxf>
      <font>
        <color rgb="FF3F3F76"/>
      </font>
      <fill>
        <patternFill>
          <bgColor rgb="FFFFCC99"/>
        </patternFill>
      </fill>
    </dxf>
    <dxf>
      <font>
        <color rgb="FF9C0006"/>
      </font>
      <fill>
        <patternFill>
          <bgColor rgb="FFFFC7CE"/>
        </patternFill>
      </fill>
    </dxf>
    <dxf>
      <font>
        <color theme="0"/>
      </font>
      <fill>
        <patternFill>
          <bgColor rgb="FF9C0006"/>
        </patternFill>
      </fill>
    </dxf>
    <dxf>
      <font>
        <color theme="0"/>
      </font>
      <fill>
        <patternFill>
          <bgColor theme="1"/>
        </patternFill>
      </fill>
    </dxf>
    <dxf>
      <font>
        <color rgb="FF9C0006"/>
      </font>
      <fill>
        <patternFill>
          <bgColor theme="0"/>
        </patternFill>
      </fill>
    </dxf>
    <dxf>
      <font>
        <color theme="1"/>
      </font>
      <fill>
        <patternFill>
          <bgColor theme="1"/>
        </patternFill>
      </fill>
    </dxf>
    <dxf>
      <font>
        <color rgb="FF9C0006"/>
      </font>
      <fill>
        <patternFill>
          <bgColor rgb="FFFFC7CE"/>
        </patternFill>
      </fill>
    </dxf>
    <dxf>
      <fill>
        <patternFill>
          <bgColor theme="1"/>
        </patternFill>
      </fill>
    </dxf>
    <dxf>
      <font>
        <b/>
        <i val="0"/>
        <color theme="0"/>
      </font>
      <fill>
        <patternFill>
          <bgColor theme="1"/>
        </patternFill>
      </fill>
    </dxf>
    <dxf>
      <font>
        <b/>
        <i val="0"/>
        <color theme="0"/>
      </font>
      <fill>
        <patternFill>
          <bgColor rgb="FF9C0006"/>
        </patternFill>
      </fill>
    </dxf>
    <dxf>
      <font>
        <b/>
        <i val="0"/>
        <color rgb="FF9C0006"/>
      </font>
      <fill>
        <patternFill>
          <bgColor rgb="FFFFC7CE"/>
        </patternFill>
      </fill>
    </dxf>
    <dxf>
      <font>
        <b/>
        <i val="0"/>
        <color rgb="FF3F3F76"/>
      </font>
      <fill>
        <patternFill>
          <bgColor rgb="FFFFCC99"/>
        </patternFill>
      </fill>
    </dxf>
    <dxf>
      <font>
        <b/>
        <i val="0"/>
        <color rgb="FF9C5700"/>
      </font>
      <fill>
        <patternFill>
          <bgColor rgb="FFFFEB9C"/>
        </patternFill>
      </fill>
    </dxf>
    <dxf>
      <font>
        <b/>
        <i val="0"/>
        <color rgb="FF006100"/>
      </font>
      <fill>
        <patternFill>
          <bgColor rgb="FFC6EFCE"/>
        </patternFill>
      </fill>
    </dxf>
    <dxf>
      <font>
        <b/>
        <i val="0"/>
        <color theme="0"/>
      </font>
      <fill>
        <patternFill>
          <bgColor rgb="FF006100"/>
        </patternFill>
      </fill>
    </dxf>
    <dxf>
      <fill>
        <patternFill>
          <bgColor theme="1"/>
        </patternFill>
      </fill>
    </dxf>
    <dxf>
      <fill>
        <patternFill>
          <bgColor theme="1"/>
        </patternFill>
      </fill>
    </dxf>
    <dxf>
      <border>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4" tint="0.39997558519241921"/>
        </patternFill>
      </fill>
    </dxf>
    <dxf>
      <border>
        <right style="thin">
          <color indexed="64"/>
        </right>
        <vertical style="thin">
          <color indexed="64"/>
        </vertical>
        <horizontal style="thin">
          <color indexed="64"/>
        </horizontal>
      </border>
    </dxf>
    <dxf>
      <border>
        <left/>
        <right/>
        <top/>
        <bottom/>
        <vertical/>
      </border>
    </dxf>
    <dxf>
      <border>
        <left/>
        <right/>
        <top/>
        <bottom/>
        <vertic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center"/>
    </dxf>
    <dxf>
      <alignment horizontal="center"/>
    </dxf>
    <dxf>
      <numFmt numFmtId="14" formatCode="0.00%"/>
    </dxf>
    <dxf>
      <numFmt numFmtId="13" formatCode="0%"/>
    </dxf>
    <dxf>
      <numFmt numFmtId="13" formatCode="0%"/>
    </dxf>
    <dxf>
      <numFmt numFmtId="13" formatCode="0%"/>
    </dxf>
    <dxf>
      <numFmt numFmtId="13" formatCode="0%"/>
    </dxf>
    <dxf>
      <numFmt numFmtId="13" formatCode="0%"/>
    </dxf>
    <dxf>
      <numFmt numFmtId="14" formatCode="0.00%"/>
    </dxf>
    <dxf>
      <numFmt numFmtId="13" formatCode="0%"/>
    </dxf>
    <dxf>
      <font>
        <b/>
      </font>
    </dxf>
    <dxf>
      <font>
        <b/>
      </font>
    </dxf>
    <dxf>
      <font>
        <b/>
      </font>
    </dxf>
    <dxf>
      <font>
        <b/>
      </font>
    </dxf>
    <dxf>
      <font>
        <b/>
      </font>
    </dxf>
    <dxf>
      <fill>
        <patternFill patternType="solid">
          <bgColor theme="5"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_-[$$-409]* #,##0.00_ ;_-[$$-409]* \-#,##0.00\ ;_-[$$-409]* &quot;-&quot;??_ ;_-@_ "/>
    </dxf>
    <dxf>
      <numFmt numFmtId="167" formatCode="_-[$$-409]* #,##0.00_ ;_-[$$-409]* \-#,##0.00\ ;_-[$$-409]* &quot;-&quot;??_ ;_-@_ "/>
    </dxf>
    <dxf>
      <numFmt numFmtId="167" formatCode="_-[$$-409]* #,##0.00_ ;_-[$$-409]* \-#,##0.00\ ;_-[$$-409]* &quot;-&quot;??_ ;_-@_ "/>
    </dxf>
    <dxf>
      <numFmt numFmtId="167" formatCode="_-[$$-409]* #,##0.00_ ;_-[$$-409]* \-#,##0.00\ ;_-[$$-409]* &quot;-&quot;??_ ;_-@_ "/>
    </dxf>
    <dxf>
      <numFmt numFmtId="167" formatCode="_-[$$-409]* #,##0.00_ ;_-[$$-409]* \-#,##0.00\ ;_-[$$-409]* &quot;-&quot;??_ ;_-@_ "/>
    </dxf>
    <dxf>
      <numFmt numFmtId="167" formatCode="_-[$$-409]* #,##0.00_ ;_-[$$-409]* \-#,##0.00\ ;_-[$$-409]* &quot;-&quot;??_ ;_-@_ "/>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numFmt numFmtId="14" formatCode="0.00%"/>
    </dxf>
    <dxf>
      <numFmt numFmtId="14" formatCode="0.0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4" formatCode="0.00%"/>
    </dxf>
    <dxf>
      <numFmt numFmtId="14" formatCode="0.00%"/>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7" formatCode="_-[$$-409]* #,##0.00_ ;_-[$$-409]* \-#,##0.00\ ;_-[$$-409]* &quot;-&quot;??_ ;_-@_ "/>
    </dxf>
    <dxf>
      <numFmt numFmtId="167" formatCode="_-[$$-409]* #,##0.00_ ;_-[$$-409]* \-#,##0.00\ ;_-[$$-409]* &quot;-&quot;??_ ;_-@_ "/>
    </dxf>
    <dxf>
      <numFmt numFmtId="167" formatCode="_-[$$-409]* #,##0.00_ ;_-[$$-409]* \-#,##0.00\ ;_-[$$-409]* &quot;-&quot;??_ ;_-@_ "/>
    </dxf>
    <dxf>
      <numFmt numFmtId="167" formatCode="_-[$$-409]* #,##0.00_ ;_-[$$-409]* \-#,##0.00\ ;_-[$$-409]* &quot;-&quot;??_ ;_-@_ "/>
    </dxf>
    <dxf>
      <numFmt numFmtId="167" formatCode="_-[$$-409]* #,##0.00_ ;_-[$$-409]* \-#,##0.00\ ;_-[$$-409]* &quot;-&quot;??_ ;_-@_ "/>
    </dxf>
    <dxf>
      <numFmt numFmtId="1" formatCode="0"/>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4" formatCode="0.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1"/>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1"/>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34" formatCode="_(&quot;$&quot;* #,##0.00_);_(&quot;$&quot;* \(#,##0.00\);_(&quot;$&quot;* &quot;-&quot;??_);_(@_)"/>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1"/>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1"/>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4" formatCode="0.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numFmt numFmtId="14" formatCode="0.00%"/>
    </dxf>
    <dxf>
      <numFmt numFmtId="14" formatCode="0.00%"/>
    </dxf>
    <dxf>
      <numFmt numFmtId="1" formatCode="0"/>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59999389629810485"/>
        </patternFill>
      </fill>
      <border diagonalUp="0" diagonalDown="0">
        <left/>
        <right style="thin">
          <color indexed="64"/>
        </right>
        <top style="thin">
          <color indexed="64"/>
        </top>
        <bottom style="thin">
          <color indexed="64"/>
        </bottom>
        <vertical/>
        <horizontal/>
      </border>
    </dxf>
    <dxf>
      <fill>
        <patternFill patternType="solid">
          <fgColor indexed="64"/>
          <bgColor theme="9" tint="0.59999389629810485"/>
        </patternFill>
      </fill>
      <border diagonalUp="0" diagonalDown="0" outline="0">
        <left/>
        <right style="thin">
          <color indexed="64"/>
        </right>
        <top style="thin">
          <color indexed="64"/>
        </top>
        <bottom style="thin">
          <color indexed="64"/>
        </bottom>
      </border>
    </dxf>
    <dxf>
      <border outline="0">
        <left style="thin">
          <color indexed="64"/>
        </left>
      </border>
    </dxf>
    <dxf>
      <font>
        <color rgb="FF9C0006"/>
      </font>
      <fill>
        <patternFill>
          <bgColor rgb="FFFFC7CE"/>
        </patternFill>
      </fill>
    </dxf>
    <dxf>
      <fill>
        <patternFill>
          <bgColor theme="1"/>
        </patternFill>
      </fill>
    </dxf>
    <dxf>
      <font>
        <color rgb="FF9C0006"/>
      </font>
      <fill>
        <patternFill>
          <bgColor rgb="FFFFC7CE"/>
        </patternFill>
      </fill>
    </dxf>
  </dxfs>
  <tableStyles count="0" defaultTableStyle="TableStyleMedium2" defaultPivotStyle="PivotStyleLight16"/>
  <colors>
    <mruColors>
      <color rgb="FFFFC7CE"/>
      <color rgb="FFCC99FF"/>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Variation des billets vendues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Option 1</c:v>
          </c:tx>
          <c:spPr>
            <a:solidFill>
              <a:schemeClr val="accent1"/>
            </a:solidFill>
            <a:ln>
              <a:noFill/>
            </a:ln>
            <a:effectLst/>
            <a:sp3d/>
          </c:spPr>
          <c:invertIfNegative val="0"/>
          <c:cat>
            <c:strRef>
              <c:f>'Option 2'!$A$33:$A$42</c:f>
              <c:strCache>
                <c:ptCount val="10"/>
                <c:pt idx="0">
                  <c:v>A</c:v>
                </c:pt>
                <c:pt idx="1">
                  <c:v>B</c:v>
                </c:pt>
                <c:pt idx="2">
                  <c:v>C</c:v>
                </c:pt>
                <c:pt idx="3">
                  <c:v>D</c:v>
                </c:pt>
                <c:pt idx="4">
                  <c:v>E</c:v>
                </c:pt>
                <c:pt idx="5">
                  <c:v>F</c:v>
                </c:pt>
                <c:pt idx="6">
                  <c:v>G</c:v>
                </c:pt>
                <c:pt idx="7">
                  <c:v>H</c:v>
                </c:pt>
                <c:pt idx="8">
                  <c:v>I</c:v>
                </c:pt>
                <c:pt idx="9">
                  <c:v>J</c:v>
                </c:pt>
              </c:strCache>
            </c:strRef>
          </c:cat>
          <c:val>
            <c:numRef>
              <c:f>Comparaison!$E$69:$E$78</c:f>
              <c:numCache>
                <c:formatCode>0.00%</c:formatCode>
                <c:ptCount val="10"/>
                <c:pt idx="0">
                  <c:v>0.15592369452247729</c:v>
                </c:pt>
                <c:pt idx="1">
                  <c:v>0.15592369452247729</c:v>
                </c:pt>
                <c:pt idx="2">
                  <c:v>0.12871373176523515</c:v>
                </c:pt>
                <c:pt idx="3">
                  <c:v>9.94972099883185E-2</c:v>
                </c:pt>
                <c:pt idx="4">
                  <c:v>9.5828402139988805E-2</c:v>
                </c:pt>
                <c:pt idx="5">
                  <c:v>9.1367195188348155E-2</c:v>
                </c:pt>
                <c:pt idx="6">
                  <c:v>8.4202884843961281E-2</c:v>
                </c:pt>
                <c:pt idx="7">
                  <c:v>7.2736614206437858E-2</c:v>
                </c:pt>
                <c:pt idx="8">
                  <c:v>6.479703080387611E-2</c:v>
                </c:pt>
                <c:pt idx="9">
                  <c:v>5.1009542018879549E-2</c:v>
                </c:pt>
              </c:numCache>
            </c:numRef>
          </c:val>
          <c:extLst>
            <c:ext xmlns:c16="http://schemas.microsoft.com/office/drawing/2014/chart" uri="{C3380CC4-5D6E-409C-BE32-E72D297353CC}">
              <c16:uniqueId val="{00000000-31EC-4939-AD4E-9394F9772062}"/>
            </c:ext>
          </c:extLst>
        </c:ser>
        <c:ser>
          <c:idx val="1"/>
          <c:order val="1"/>
          <c:tx>
            <c:v>Option 2</c:v>
          </c:tx>
          <c:spPr>
            <a:solidFill>
              <a:schemeClr val="accent2"/>
            </a:solidFill>
            <a:ln>
              <a:noFill/>
            </a:ln>
            <a:effectLst/>
            <a:sp3d/>
          </c:spPr>
          <c:invertIfNegative val="0"/>
          <c:val>
            <c:numRef>
              <c:f>Comparaison!$Q$68:$Q$77</c:f>
              <c:numCache>
                <c:formatCode>0.00%</c:formatCode>
                <c:ptCount val="10"/>
                <c:pt idx="0">
                  <c:v>0.1218124733207125</c:v>
                </c:pt>
                <c:pt idx="1">
                  <c:v>0.13160714875589696</c:v>
                </c:pt>
                <c:pt idx="2">
                  <c:v>0.13099898263410448</c:v>
                </c:pt>
                <c:pt idx="3">
                  <c:v>0.1218124733207125</c:v>
                </c:pt>
                <c:pt idx="4">
                  <c:v>0.11319495142737229</c:v>
                </c:pt>
                <c:pt idx="5">
                  <c:v>9.1405447580817589E-2</c:v>
                </c:pt>
                <c:pt idx="6">
                  <c:v>7.631370924230696E-2</c:v>
                </c:pt>
                <c:pt idx="7">
                  <c:v>6.7486722133124108E-2</c:v>
                </c:pt>
                <c:pt idx="8">
                  <c:v>5.110080628743903E-2</c:v>
                </c:pt>
                <c:pt idx="9">
                  <c:v>9.4267285297513589E-2</c:v>
                </c:pt>
              </c:numCache>
            </c:numRef>
          </c:val>
          <c:extLst>
            <c:ext xmlns:c16="http://schemas.microsoft.com/office/drawing/2014/chart" uri="{C3380CC4-5D6E-409C-BE32-E72D297353CC}">
              <c16:uniqueId val="{00000001-31EC-4939-AD4E-9394F9772062}"/>
            </c:ext>
          </c:extLst>
        </c:ser>
        <c:dLbls>
          <c:showLegendKey val="0"/>
          <c:showVal val="0"/>
          <c:showCatName val="0"/>
          <c:showSerName val="0"/>
          <c:showPercent val="0"/>
          <c:showBubbleSize val="0"/>
        </c:dLbls>
        <c:gapWidth val="150"/>
        <c:shape val="box"/>
        <c:axId val="180509871"/>
        <c:axId val="180506991"/>
        <c:axId val="0"/>
      </c:bar3DChart>
      <c:catAx>
        <c:axId val="1805098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0506991"/>
        <c:crosses val="autoZero"/>
        <c:auto val="0"/>
        <c:lblAlgn val="ctr"/>
        <c:lblOffset val="100"/>
        <c:noMultiLvlLbl val="0"/>
      </c:catAx>
      <c:valAx>
        <c:axId val="1805069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050987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des Profits obtenus par groupe entre les deux Options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v>Option 1</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'Option 2'!$A$33:$A$42</c:f>
              <c:strCache>
                <c:ptCount val="10"/>
                <c:pt idx="0">
                  <c:v>A</c:v>
                </c:pt>
                <c:pt idx="1">
                  <c:v>B</c:v>
                </c:pt>
                <c:pt idx="2">
                  <c:v>C</c:v>
                </c:pt>
                <c:pt idx="3">
                  <c:v>D</c:v>
                </c:pt>
                <c:pt idx="4">
                  <c:v>E</c:v>
                </c:pt>
                <c:pt idx="5">
                  <c:v>F</c:v>
                </c:pt>
                <c:pt idx="6">
                  <c:v>G</c:v>
                </c:pt>
                <c:pt idx="7">
                  <c:v>H</c:v>
                </c:pt>
                <c:pt idx="8">
                  <c:v>I</c:v>
                </c:pt>
                <c:pt idx="9">
                  <c:v>J</c:v>
                </c:pt>
              </c:strCache>
            </c:strRef>
          </c:cat>
          <c:val>
            <c:numRef>
              <c:f>Comparaison!$J$68:$J$77</c:f>
              <c:numCache>
                <c:formatCode>_-[$$-409]* #,##0.00_ ;_-[$$-409]* \-#,##0.00\ ;_-[$$-409]* "-"??_ ;_-@_ </c:formatCode>
                <c:ptCount val="10"/>
                <c:pt idx="0">
                  <c:v>101025000</c:v>
                </c:pt>
                <c:pt idx="1">
                  <c:v>99500000</c:v>
                </c:pt>
                <c:pt idx="2">
                  <c:v>81347375</c:v>
                </c:pt>
                <c:pt idx="3">
                  <c:v>57341500</c:v>
                </c:pt>
                <c:pt idx="4">
                  <c:v>54382187.5</c:v>
                </c:pt>
                <c:pt idx="5">
                  <c:v>50399140</c:v>
                </c:pt>
                <c:pt idx="6">
                  <c:v>49884420</c:v>
                </c:pt>
                <c:pt idx="7">
                  <c:v>39121950</c:v>
                </c:pt>
                <c:pt idx="8">
                  <c:v>36931317.5</c:v>
                </c:pt>
                <c:pt idx="9">
                  <c:v>31272650</c:v>
                </c:pt>
              </c:numCache>
            </c:numRef>
          </c:val>
          <c:smooth val="0"/>
          <c:extLst>
            <c:ext xmlns:c16="http://schemas.microsoft.com/office/drawing/2014/chart" uri="{C3380CC4-5D6E-409C-BE32-E72D297353CC}">
              <c16:uniqueId val="{00000000-179A-40AA-804C-86C4596EF713}"/>
            </c:ext>
          </c:extLst>
        </c:ser>
        <c:ser>
          <c:idx val="1"/>
          <c:order val="1"/>
          <c:tx>
            <c:v>Option 2</c:v>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Comparaison!$Y$68:$Y$77</c:f>
              <c:numCache>
                <c:formatCode>_-[$$-409]* #,##0.00_ ;_-[$$-409]* \-#,##0.00\ ;_-[$$-409]* "-"??_ ;_-@_ </c:formatCode>
                <c:ptCount val="10"/>
                <c:pt idx="0">
                  <c:v>65946001.25</c:v>
                </c:pt>
                <c:pt idx="1">
                  <c:v>90006294.375</c:v>
                </c:pt>
                <c:pt idx="2">
                  <c:v>86209673.28125</c:v>
                </c:pt>
                <c:pt idx="3">
                  <c:v>62429525</c:v>
                </c:pt>
                <c:pt idx="4">
                  <c:v>69403436.71875</c:v>
                </c:pt>
                <c:pt idx="5">
                  <c:v>53822853.112499997</c:v>
                </c:pt>
                <c:pt idx="6">
                  <c:v>46210975.056250006</c:v>
                </c:pt>
                <c:pt idx="7">
                  <c:v>40052389.899999999</c:v>
                </c:pt>
                <c:pt idx="8">
                  <c:v>31054260.399999999</c:v>
                </c:pt>
                <c:pt idx="9">
                  <c:v>42564253.674999997</c:v>
                </c:pt>
              </c:numCache>
            </c:numRef>
          </c:val>
          <c:smooth val="0"/>
          <c:extLst>
            <c:ext xmlns:c16="http://schemas.microsoft.com/office/drawing/2014/chart" uri="{C3380CC4-5D6E-409C-BE32-E72D297353CC}">
              <c16:uniqueId val="{00000001-179A-40AA-804C-86C4596EF713}"/>
            </c:ext>
          </c:extLst>
        </c:ser>
        <c:dLbls>
          <c:showLegendKey val="0"/>
          <c:showVal val="0"/>
          <c:showCatName val="0"/>
          <c:showSerName val="0"/>
          <c:showPercent val="0"/>
          <c:showBubbleSize val="0"/>
        </c:dLbls>
        <c:marker val="1"/>
        <c:smooth val="0"/>
        <c:axId val="334591823"/>
        <c:axId val="334592783"/>
      </c:lineChart>
      <c:catAx>
        <c:axId val="334591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4592783"/>
        <c:crosses val="autoZero"/>
        <c:auto val="1"/>
        <c:lblAlgn val="ctr"/>
        <c:lblOffset val="100"/>
        <c:noMultiLvlLbl val="0"/>
      </c:catAx>
      <c:valAx>
        <c:axId val="334592783"/>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4591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data id="1">
      <cx:numDim type="val">
        <cx:f>_xlchart.v1.1</cx:f>
      </cx:numDim>
    </cx:data>
  </cx:chartData>
  <cx:chart>
    <cx:title pos="t" align="ctr" overlay="0">
      <cx:tx>
        <cx:txData>
          <cx:v>Comparaison des Profit des Stades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Calibri" panose="020F0502020204030204"/>
            </a:rPr>
            <a:t>Comparaison des Profit des Stades</a:t>
          </a:r>
        </a:p>
      </cx:txPr>
    </cx:title>
    <cx:plotArea>
      <cx:plotAreaRegion>
        <cx:series layoutId="boxWhisker" uniqueId="{B8828C88-893C-46E8-B452-911CC94816B2}">
          <cx:tx>
            <cx:txData>
              <cx:f/>
              <cx:v>Option 1</cx:v>
            </cx:txData>
          </cx:tx>
          <cx:dataId val="0"/>
          <cx:layoutPr>
            <cx:visibility meanLine="0" meanMarker="1" nonoutliers="0" outliers="1"/>
            <cx:statistics quartileMethod="exclusive"/>
          </cx:layoutPr>
        </cx:series>
        <cx:series layoutId="boxWhisker" uniqueId="{00000000-0FC8-49E3-BA6F-D8E520B2810B}">
          <cx:tx>
            <cx:txData>
              <cx:f/>
              <cx:v>Option 2</cx:v>
            </cx:txData>
          </cx:tx>
          <cx:dataId val="1"/>
          <cx:layoutPr>
            <cx:visibility nonoutliers="0"/>
            <cx:statistics quartileMethod="exclusive"/>
          </cx:layoutPr>
        </cx:series>
      </cx:plotAreaRegion>
      <cx:axis id="0">
        <cx:catScaling gapWidth="1"/>
        <cx:tickLabels/>
      </cx:axis>
      <cx:axis id="1">
        <cx:valScaling/>
        <cx:majorGridlines/>
        <cx:tickLabels/>
      </cx:axis>
    </cx:plotArea>
    <cx:legend pos="t" align="ctr" overlay="0">
      <cx:txPr>
        <a:bodyPr spcFirstLastPara="1" vertOverflow="ellipsis" horzOverflow="overflow" wrap="square" lIns="0" tIns="0" rIns="0" bIns="0" anchor="ctr" anchorCtr="1"/>
        <a:lstStyle/>
        <a:p>
          <a:pPr algn="ctr" rtl="0">
            <a:defRPr/>
          </a:pPr>
          <a:endParaRPr lang="fr-FR" sz="900" b="0" i="0" u="none" strike="noStrike" baseline="0">
            <a:solidFill>
              <a:sysClr val="windowText" lastClr="000000">
                <a:lumMod val="65000"/>
                <a:lumOff val="3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3</xdr:col>
      <xdr:colOff>95250</xdr:colOff>
      <xdr:row>1</xdr:row>
      <xdr:rowOff>0</xdr:rowOff>
    </xdr:from>
    <xdr:to>
      <xdr:col>9</xdr:col>
      <xdr:colOff>500062</xdr:colOff>
      <xdr:row>29</xdr:row>
      <xdr:rowOff>0</xdr:rowOff>
    </xdr:to>
    <mc:AlternateContent xmlns:mc="http://schemas.openxmlformats.org/markup-compatibility/2006">
      <mc:Choice xmlns:cx1="http://schemas.microsoft.com/office/drawing/2015/9/8/chartex" Requires="cx1">
        <xdr:graphicFrame macro="">
          <xdr:nvGraphicFramePr>
            <xdr:cNvPr id="3" name="Graphique 2">
              <a:extLst>
                <a:ext uri="{FF2B5EF4-FFF2-40B4-BE49-F238E27FC236}">
                  <a16:creationId xmlns:a16="http://schemas.microsoft.com/office/drawing/2014/main" id="{CADF5C03-780F-4181-96DC-9B62303D314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419475" y="180975"/>
              <a:ext cx="4962525" cy="5067300"/>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3</xdr:col>
      <xdr:colOff>461962</xdr:colOff>
      <xdr:row>31</xdr:row>
      <xdr:rowOff>19050</xdr:rowOff>
    </xdr:from>
    <xdr:to>
      <xdr:col>10</xdr:col>
      <xdr:colOff>426244</xdr:colOff>
      <xdr:row>48</xdr:row>
      <xdr:rowOff>88107</xdr:rowOff>
    </xdr:to>
    <xdr:graphicFrame macro="">
      <xdr:nvGraphicFramePr>
        <xdr:cNvPr id="4" name="Graphique 3">
          <a:extLst>
            <a:ext uri="{FF2B5EF4-FFF2-40B4-BE49-F238E27FC236}">
              <a16:creationId xmlns:a16="http://schemas.microsoft.com/office/drawing/2014/main" id="{345BBB27-3D6E-43AC-86FE-188C19D92A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305849</xdr:colOff>
      <xdr:row>50</xdr:row>
      <xdr:rowOff>39324</xdr:rowOff>
    </xdr:from>
    <xdr:to>
      <xdr:col>11</xdr:col>
      <xdr:colOff>394109</xdr:colOff>
      <xdr:row>67</xdr:row>
      <xdr:rowOff>141653</xdr:rowOff>
    </xdr:to>
    <xdr:graphicFrame macro="">
      <xdr:nvGraphicFramePr>
        <xdr:cNvPr id="6" name="Graphique 5">
          <a:extLst>
            <a:ext uri="{FF2B5EF4-FFF2-40B4-BE49-F238E27FC236}">
              <a16:creationId xmlns:a16="http://schemas.microsoft.com/office/drawing/2014/main" id="{897E35C3-FADF-4A71-9D97-02BFC8B4B8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hecmtl-my.sharepoint.com/personal/estha_tshiya-wamonakeba_hec_ca/Documents/MATH%2010605/Copie%20de%2010605-S5-F2-Horaire.xlsm" TargetMode="External"/><Relationship Id="rId1" Type="http://schemas.openxmlformats.org/officeDocument/2006/relationships/externalLinkPath" Target="https://hecmtl.sharepoint.com/sites/O365-10605-Correcteurs/Shared%20Documents/Rapport%201/Automne/B45/tshiya-wamonakeba,%20estha(11317258)/Fichiers%20soumis/MATH%2010605/Copie%20de%2010605-S5-F2-Horair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rectives"/>
      <sheetName val="DATA"/>
      <sheetName val="Qa..Qc"/>
      <sheetName val="Qd..Qh"/>
      <sheetName val="Original - Qd..Qh"/>
      <sheetName val="Qi"/>
      <sheetName val="Fin"/>
      <sheetName val="Defi"/>
      <sheetName val="Original - Defi"/>
      <sheetName val="Calculs"/>
    </sheetNames>
    <sheetDataSet>
      <sheetData sheetId="0"/>
      <sheetData sheetId="1"/>
      <sheetData sheetId="2"/>
      <sheetData sheetId="3"/>
      <sheetData sheetId="4"/>
      <sheetData sheetId="5"/>
      <sheetData sheetId="6"/>
      <sheetData sheetId="7"/>
      <sheetData sheetId="8"/>
      <sheetData sheetId="9">
        <row r="37">
          <cell r="AG37" t="str">
            <v>≥</v>
          </cell>
        </row>
        <row r="38">
          <cell r="AG38" t="str">
            <v>&gt;</v>
          </cell>
        </row>
        <row r="39">
          <cell r="AG39" t="str">
            <v>=</v>
          </cell>
        </row>
        <row r="40">
          <cell r="AG40" t="str">
            <v>≠</v>
          </cell>
        </row>
        <row r="41">
          <cell r="AG41" t="str">
            <v>&lt;</v>
          </cell>
        </row>
        <row r="42">
          <cell r="AG42" t="str">
            <v>≤</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fricomrdc@hotmail.com" refreshedDate="45596.123435416666" createdVersion="8" refreshedVersion="8" minRefreshableVersion="3" recordCount="60" xr:uid="{DBDD26E4-1D26-412C-B516-53F1610272AB}">
  <cacheSource type="worksheet">
    <worksheetSource ref="A4:K64" sheet="Comparaison"/>
  </cacheSource>
  <cacheFields count="10">
    <cacheField name="# des Stades" numFmtId="0">
      <sharedItems containsSemiMixedTypes="0" containsString="0" containsNumber="1" containsInteger="1" minValue="1" maxValue="20" count="20">
        <n v="1"/>
        <n v="5"/>
        <n v="12"/>
        <n v="2"/>
        <n v="20"/>
        <n v="16"/>
        <n v="9"/>
        <n v="17"/>
        <n v="7"/>
        <n v="14"/>
        <n v="18"/>
        <n v="19"/>
        <n v="4"/>
        <n v="6"/>
        <n v="13"/>
        <n v="15"/>
        <n v="3"/>
        <n v="8"/>
        <n v="10"/>
        <n v="11"/>
      </sharedItems>
    </cacheField>
    <cacheField name="Groupes" numFmtId="0">
      <sharedItems count="10">
        <s v="A"/>
        <s v="B"/>
        <s v="C"/>
        <s v="D"/>
        <s v="E"/>
        <s v="F"/>
        <s v="G"/>
        <s v="H"/>
        <s v="I"/>
        <s v="J"/>
      </sharedItems>
    </cacheField>
    <cacheField name="Pays" numFmtId="0">
      <sharedItems count="3">
        <s v="Espagne"/>
        <s v="Maroc"/>
        <s v="Portugal"/>
      </sharedItems>
    </cacheField>
    <cacheField name="% billets vendues " numFmtId="0">
      <sharedItems containsSemiMixedTypes="0" containsString="0" containsNumber="1" containsInteger="1" minValue="26100" maxValue="115000"/>
    </cacheField>
    <cacheField name="Supplément" numFmtId="0">
      <sharedItems containsSemiMixedTypes="0" containsString="0" containsNumber="1" minValue="0" maxValue="22.5"/>
    </cacheField>
    <cacheField name="Prix" numFmtId="0">
      <sharedItems containsSemiMixedTypes="0" containsString="0" containsNumber="1" containsInteger="1" minValue="135" maxValue="175"/>
    </cacheField>
    <cacheField name="Prix total" numFmtId="167">
      <sharedItems containsSemiMixedTypes="0" containsString="0" containsNumber="1" minValue="137.5" maxValue="197.5" count="19">
        <n v="197.5"/>
        <n v="157.5"/>
        <n v="195"/>
        <n v="155"/>
        <n v="192.5"/>
        <n v="152.5"/>
        <n v="190"/>
        <n v="150"/>
        <n v="187.5"/>
        <n v="147.5"/>
        <n v="185"/>
        <n v="145"/>
        <n v="182.5"/>
        <n v="142.5"/>
        <n v="180"/>
        <n v="140"/>
        <n v="177.5"/>
        <n v="137.5"/>
        <n v="175"/>
      </sharedItems>
    </cacheField>
    <cacheField name="Revenue" numFmtId="167">
      <sharedItems containsSemiMixedTypes="0" containsString="0" containsNumber="1" minValue="4567500" maxValue="20737500"/>
    </cacheField>
    <cacheField name="Coûts" numFmtId="44">
      <sharedItems containsSemiMixedTypes="0" containsString="0" containsNumber="1" containsInteger="1" minValue="500000" maxValue="2000000"/>
    </cacheField>
    <cacheField name="Profit " numFmtId="167">
      <sharedItems containsSemiMixedTypes="0" containsString="0" containsNumber="1" minValue="4067500" maxValue="19012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fricomrdc@hotmail.com" refreshedDate="45596.148623842593" createdVersion="8" refreshedVersion="8" minRefreshableVersion="3" recordCount="60" xr:uid="{B669EBA9-F783-44CC-ACFB-586F8BA91BCA}">
  <cacheSource type="worksheet">
    <worksheetSource ref="M4:Y64" sheet="Comparaison"/>
  </cacheSource>
  <cacheFields count="12">
    <cacheField name="# des Stades" numFmtId="0">
      <sharedItems containsSemiMixedTypes="0" containsString="0" containsNumber="1" containsInteger="1" minValue="1" maxValue="20" count="20">
        <n v="12"/>
        <n v="16"/>
        <n v="17"/>
        <n v="1"/>
        <n v="2"/>
        <n v="5"/>
        <n v="20"/>
        <n v="9"/>
        <n v="7"/>
        <n v="6"/>
        <n v="19"/>
        <n v="4"/>
        <n v="18"/>
        <n v="3"/>
        <n v="8"/>
        <n v="10"/>
        <n v="11"/>
        <n v="13"/>
        <n v="14"/>
        <n v="15"/>
      </sharedItems>
    </cacheField>
    <cacheField name="Groupes" numFmtId="0">
      <sharedItems count="10">
        <s v="A"/>
        <s v="B"/>
        <s v="C"/>
        <s v="D"/>
        <s v="E"/>
        <s v="F"/>
        <s v="G"/>
        <s v="H"/>
        <s v="I"/>
        <s v="J"/>
      </sharedItems>
    </cacheField>
    <cacheField name="Pays" numFmtId="0">
      <sharedItems count="3">
        <s v="Maroc"/>
        <s v="Espagne"/>
        <s v="Portugal"/>
      </sharedItems>
    </cacheField>
    <cacheField name="% billets vendues " numFmtId="0">
      <sharedItems containsSemiMixedTypes="0" containsString="0" containsNumber="1" containsInteger="1" minValue="26100" maxValue="115000"/>
    </cacheField>
    <cacheField name="Supplément" numFmtId="0">
      <sharedItems containsSemiMixedTypes="0" containsString="0" containsNumber="1" minValue="0" maxValue="22.5"/>
    </cacheField>
    <cacheField name="Prix" numFmtId="0">
      <sharedItems containsSemiMixedTypes="0" containsString="0" containsNumber="1" containsInteger="1" minValue="135" maxValue="175"/>
    </cacheField>
    <cacheField name="Prix total" numFmtId="167">
      <sharedItems containsSemiMixedTypes="0" containsString="0" containsNumber="1" minValue="135" maxValue="195"/>
    </cacheField>
    <cacheField name="Revenue" numFmtId="167">
      <sharedItems containsSemiMixedTypes="0" containsString="0" containsNumber="1" minValue="4632750" maxValue="20475000"/>
    </cacheField>
    <cacheField name="Coûts" numFmtId="0">
      <sharedItems containsSemiMixedTypes="0" containsString="0" containsNumber="1" containsInteger="1" minValue="500000" maxValue="2000000"/>
    </cacheField>
    <cacheField name="Taxes" numFmtId="10">
      <sharedItems containsSemiMixedTypes="0" containsString="0" containsNumber="1" minValue="1.2500000000000001E-2" maxValue="2.2499999999999999E-2"/>
    </cacheField>
    <cacheField name="Montant des taxes " numFmtId="167">
      <sharedItems containsSemiMixedTypes="0" containsString="0" containsNumber="1" minValue="81073.125" maxValue="293852.8125"/>
    </cacheField>
    <cacheField name="Profit " numFmtId="167">
      <sharedItems containsSemiMixedTypes="0" containsString="0" containsNumber="1" minValue="4051676.875" maxValue="18494062.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fricomrdc@hotmail.com" refreshedDate="45597.466961458333" createdVersion="8" refreshedVersion="8" minRefreshableVersion="3" recordCount="60" xr:uid="{A25CF62E-EA1E-4EBA-9576-E1DD665DAB01}">
  <cacheSource type="worksheet">
    <worksheetSource name="Tableau2"/>
  </cacheSource>
  <cacheFields count="11">
    <cacheField name="# des Stades" numFmtId="0">
      <sharedItems containsSemiMixedTypes="0" containsString="0" containsNumber="1" containsInteger="1" minValue="1" maxValue="20" count="20">
        <n v="1"/>
        <n v="5"/>
        <n v="12"/>
        <n v="2"/>
        <n v="20"/>
        <n v="16"/>
        <n v="9"/>
        <n v="17"/>
        <n v="7"/>
        <n v="14"/>
        <n v="18"/>
        <n v="19"/>
        <n v="4"/>
        <n v="6"/>
        <n v="13"/>
        <n v="15"/>
        <n v="3"/>
        <n v="8"/>
        <n v="10"/>
        <n v="11"/>
      </sharedItems>
    </cacheField>
    <cacheField name="Groupes" numFmtId="0">
      <sharedItems count="10">
        <s v="A"/>
        <s v="B"/>
        <s v="C"/>
        <s v="D"/>
        <s v="E"/>
        <s v="F"/>
        <s v="G"/>
        <s v="H"/>
        <s v="I"/>
        <s v="J"/>
      </sharedItems>
    </cacheField>
    <cacheField name="Pays" numFmtId="0">
      <sharedItems count="3">
        <s v="Espagne"/>
        <s v="Maroc"/>
        <s v="Portugal"/>
      </sharedItems>
    </cacheField>
    <cacheField name="% billets vendues " numFmtId="0">
      <sharedItems containsSemiMixedTypes="0" containsString="0" containsNumber="1" containsInteger="1" minValue="26100" maxValue="115000"/>
    </cacheField>
    <cacheField name="Supplément" numFmtId="0">
      <sharedItems containsSemiMixedTypes="0" containsString="0" containsNumber="1" minValue="0" maxValue="22.5"/>
    </cacheField>
    <cacheField name="Prix" numFmtId="0">
      <sharedItems containsSemiMixedTypes="0" containsString="0" containsNumber="1" containsInteger="1" minValue="135" maxValue="175"/>
    </cacheField>
    <cacheField name="Prix total" numFmtId="167">
      <sharedItems containsSemiMixedTypes="0" containsString="0" containsNumber="1" minValue="137.5" maxValue="197.5"/>
    </cacheField>
    <cacheField name="Revenue" numFmtId="167">
      <sharedItems containsSemiMixedTypes="0" containsString="0" containsNumber="1" minValue="4567500" maxValue="20737500"/>
    </cacheField>
    <cacheField name="Coûts" numFmtId="44">
      <sharedItems containsSemiMixedTypes="0" containsString="0" containsNumber="1" containsInteger="1" minValue="500000" maxValue="2000000"/>
    </cacheField>
    <cacheField name="Profit " numFmtId="167">
      <sharedItems containsSemiMixedTypes="0" containsString="0" containsNumber="1" minValue="4067500" maxValue="19012500"/>
    </cacheField>
    <cacheField name="Sous capacité "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fricomrdc@hotmail.com" refreshedDate="45597.479790046295" createdVersion="8" refreshedVersion="8" minRefreshableVersion="3" recordCount="60" xr:uid="{B347AC6D-A119-466A-9BB8-C107376AB3AB}">
  <cacheSource type="worksheet">
    <worksheetSource name="Tableau4"/>
  </cacheSource>
  <cacheFields count="13">
    <cacheField name="# des Stades" numFmtId="0">
      <sharedItems containsSemiMixedTypes="0" containsString="0" containsNumber="1" containsInteger="1" minValue="1" maxValue="20"/>
    </cacheField>
    <cacheField name="Groupes" numFmtId="0">
      <sharedItems count="10">
        <s v="A"/>
        <s v="B"/>
        <s v="C"/>
        <s v="D"/>
        <s v="E"/>
        <s v="F"/>
        <s v="G"/>
        <s v="H"/>
        <s v="I"/>
        <s v="J"/>
      </sharedItems>
    </cacheField>
    <cacheField name="Pays" numFmtId="0">
      <sharedItems/>
    </cacheField>
    <cacheField name="% billets vendues " numFmtId="0">
      <sharedItems containsSemiMixedTypes="0" containsString="0" containsNumber="1" containsInteger="1" minValue="26100" maxValue="115000"/>
    </cacheField>
    <cacheField name="Supplément" numFmtId="0">
      <sharedItems containsSemiMixedTypes="0" containsString="0" containsNumber="1" minValue="0" maxValue="22.5"/>
    </cacheField>
    <cacheField name="Prix" numFmtId="0">
      <sharedItems containsSemiMixedTypes="0" containsString="0" containsNumber="1" containsInteger="1" minValue="135" maxValue="175"/>
    </cacheField>
    <cacheField name="Prix total" numFmtId="167">
      <sharedItems containsSemiMixedTypes="0" containsString="0" containsNumber="1" minValue="135" maxValue="195"/>
    </cacheField>
    <cacheField name="Revenue" numFmtId="167">
      <sharedItems containsSemiMixedTypes="0" containsString="0" containsNumber="1" minValue="4632750" maxValue="20475000"/>
    </cacheField>
    <cacheField name="Coûts" numFmtId="0">
      <sharedItems containsSemiMixedTypes="0" containsString="0" containsNumber="1" containsInteger="1" minValue="500000" maxValue="2000000"/>
    </cacheField>
    <cacheField name="Taxes" numFmtId="10">
      <sharedItems containsSemiMixedTypes="0" containsString="0" containsNumber="1" minValue="1.2500000000000001E-2" maxValue="2.2499999999999999E-2"/>
    </cacheField>
    <cacheField name="Montant des taxes " numFmtId="167">
      <sharedItems containsSemiMixedTypes="0" containsString="0" containsNumber="1" minValue="81073.125" maxValue="293852.8125"/>
    </cacheField>
    <cacheField name="Profit " numFmtId="167">
      <sharedItems containsSemiMixedTypes="0" containsString="0" containsNumber="1" minValue="4051676.875" maxValue="18494062.5"/>
    </cacheField>
    <cacheField name="Sous capacité"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x v="0"/>
    <n v="85000"/>
    <n v="22.5"/>
    <n v="175"/>
    <x v="0"/>
    <n v="16787500"/>
    <n v="1400000"/>
    <n v="15387500"/>
  </r>
  <r>
    <x v="0"/>
    <x v="0"/>
    <x v="0"/>
    <n v="85000"/>
    <n v="22.5"/>
    <n v="175"/>
    <x v="0"/>
    <n v="16787500"/>
    <n v="1400000"/>
    <n v="15387500"/>
  </r>
  <r>
    <x v="1"/>
    <x v="0"/>
    <x v="0"/>
    <n v="105000"/>
    <n v="22.5"/>
    <n v="175"/>
    <x v="0"/>
    <n v="20737500"/>
    <n v="1725000"/>
    <n v="19012500"/>
  </r>
  <r>
    <x v="1"/>
    <x v="0"/>
    <x v="0"/>
    <n v="105000"/>
    <n v="22.5"/>
    <n v="175"/>
    <x v="0"/>
    <n v="20737500"/>
    <n v="1725000"/>
    <n v="19012500"/>
  </r>
  <r>
    <x v="2"/>
    <x v="0"/>
    <x v="1"/>
    <n v="115000"/>
    <n v="22.5"/>
    <n v="135"/>
    <x v="1"/>
    <n v="18112500"/>
    <n v="2000000"/>
    <n v="16112500"/>
  </r>
  <r>
    <x v="2"/>
    <x v="0"/>
    <x v="1"/>
    <n v="115000"/>
    <n v="22.5"/>
    <n v="135"/>
    <x v="1"/>
    <n v="18112500"/>
    <n v="2000000"/>
    <n v="16112500"/>
  </r>
  <r>
    <x v="0"/>
    <x v="1"/>
    <x v="0"/>
    <n v="85000"/>
    <n v="20"/>
    <n v="175"/>
    <x v="2"/>
    <n v="16575000"/>
    <n v="1400000"/>
    <n v="15175000"/>
  </r>
  <r>
    <x v="0"/>
    <x v="1"/>
    <x v="0"/>
    <n v="85000"/>
    <n v="20"/>
    <n v="175"/>
    <x v="2"/>
    <n v="16575000"/>
    <n v="1400000"/>
    <n v="15175000"/>
  </r>
  <r>
    <x v="1"/>
    <x v="1"/>
    <x v="0"/>
    <n v="105000"/>
    <n v="20"/>
    <n v="175"/>
    <x v="2"/>
    <n v="20475000"/>
    <n v="1725000"/>
    <n v="18750000"/>
  </r>
  <r>
    <x v="1"/>
    <x v="1"/>
    <x v="0"/>
    <n v="105000"/>
    <n v="20"/>
    <n v="175"/>
    <x v="2"/>
    <n v="20475000"/>
    <n v="1725000"/>
    <n v="18750000"/>
  </r>
  <r>
    <x v="2"/>
    <x v="1"/>
    <x v="1"/>
    <n v="115000"/>
    <n v="20"/>
    <n v="135"/>
    <x v="3"/>
    <n v="17825000"/>
    <n v="2000000"/>
    <n v="15825000"/>
  </r>
  <r>
    <x v="2"/>
    <x v="1"/>
    <x v="1"/>
    <n v="115000"/>
    <n v="20"/>
    <n v="135"/>
    <x v="3"/>
    <n v="17825000"/>
    <n v="2000000"/>
    <n v="15825000"/>
  </r>
  <r>
    <x v="0"/>
    <x v="2"/>
    <x v="0"/>
    <n v="85000"/>
    <n v="17.5"/>
    <n v="175"/>
    <x v="4"/>
    <n v="16362500"/>
    <n v="1400000"/>
    <n v="14962500"/>
  </r>
  <r>
    <x v="3"/>
    <x v="2"/>
    <x v="0"/>
    <n v="66975"/>
    <n v="17.5"/>
    <n v="175"/>
    <x v="4"/>
    <n v="12892687.5"/>
    <n v="1225000"/>
    <n v="11667687.5"/>
  </r>
  <r>
    <x v="3"/>
    <x v="2"/>
    <x v="0"/>
    <n v="66975"/>
    <n v="17.5"/>
    <n v="175"/>
    <x v="4"/>
    <n v="12892687.5"/>
    <n v="1225000"/>
    <n v="11667687.5"/>
  </r>
  <r>
    <x v="1"/>
    <x v="2"/>
    <x v="0"/>
    <n v="105000"/>
    <n v="17.5"/>
    <n v="175"/>
    <x v="4"/>
    <n v="20212500"/>
    <n v="1725000"/>
    <n v="18487500"/>
  </r>
  <r>
    <x v="2"/>
    <x v="2"/>
    <x v="1"/>
    <n v="115000"/>
    <n v="17.5"/>
    <n v="135"/>
    <x v="5"/>
    <n v="17537500"/>
    <n v="2000000"/>
    <n v="15537500"/>
  </r>
  <r>
    <x v="4"/>
    <x v="2"/>
    <x v="2"/>
    <n v="64600"/>
    <n v="17.5"/>
    <n v="140"/>
    <x v="1"/>
    <n v="10174500"/>
    <n v="1150000"/>
    <n v="9024500"/>
  </r>
  <r>
    <x v="3"/>
    <x v="3"/>
    <x v="0"/>
    <n v="66975"/>
    <n v="15"/>
    <n v="175"/>
    <x v="6"/>
    <n v="12725250"/>
    <n v="1225000"/>
    <n v="11500250"/>
  </r>
  <r>
    <x v="3"/>
    <x v="3"/>
    <x v="0"/>
    <n v="66975"/>
    <n v="15"/>
    <n v="175"/>
    <x v="6"/>
    <n v="12725250"/>
    <n v="1225000"/>
    <n v="11500250"/>
  </r>
  <r>
    <x v="5"/>
    <x v="3"/>
    <x v="1"/>
    <n v="63050"/>
    <n v="15"/>
    <n v="135"/>
    <x v="7"/>
    <n v="9457500"/>
    <n v="1150000"/>
    <n v="8307500"/>
  </r>
  <r>
    <x v="5"/>
    <x v="3"/>
    <x v="1"/>
    <n v="63050"/>
    <n v="15"/>
    <n v="135"/>
    <x v="7"/>
    <n v="9457500"/>
    <n v="1150000"/>
    <n v="8307500"/>
  </r>
  <r>
    <x v="4"/>
    <x v="3"/>
    <x v="2"/>
    <n v="64600"/>
    <n v="15"/>
    <n v="140"/>
    <x v="3"/>
    <n v="10013000"/>
    <n v="1150000"/>
    <n v="8863000"/>
  </r>
  <r>
    <x v="4"/>
    <x v="3"/>
    <x v="2"/>
    <n v="64600"/>
    <n v="15"/>
    <n v="140"/>
    <x v="3"/>
    <n v="10013000"/>
    <n v="1150000"/>
    <n v="8863000"/>
  </r>
  <r>
    <x v="3"/>
    <x v="4"/>
    <x v="0"/>
    <n v="66975"/>
    <n v="12.5"/>
    <n v="175"/>
    <x v="8"/>
    <n v="12557812.5"/>
    <n v="1225000"/>
    <n v="11332812.5"/>
  </r>
  <r>
    <x v="6"/>
    <x v="4"/>
    <x v="0"/>
    <n v="55872"/>
    <n v="12.5"/>
    <n v="175"/>
    <x v="8"/>
    <n v="10476000"/>
    <n v="1000000"/>
    <n v="9476000"/>
  </r>
  <r>
    <x v="5"/>
    <x v="4"/>
    <x v="1"/>
    <n v="63050"/>
    <n v="12.5"/>
    <n v="135"/>
    <x v="9"/>
    <n v="9299875"/>
    <n v="1150000"/>
    <n v="8149875"/>
  </r>
  <r>
    <x v="7"/>
    <x v="4"/>
    <x v="1"/>
    <n v="59800"/>
    <n v="12.5"/>
    <n v="135"/>
    <x v="9"/>
    <n v="8820500"/>
    <n v="800000"/>
    <n v="8020500"/>
  </r>
  <r>
    <x v="4"/>
    <x v="4"/>
    <x v="2"/>
    <n v="64600"/>
    <n v="12.5"/>
    <n v="140"/>
    <x v="5"/>
    <n v="9851500"/>
    <n v="1150000"/>
    <n v="8701500"/>
  </r>
  <r>
    <x v="4"/>
    <x v="4"/>
    <x v="2"/>
    <n v="64600"/>
    <n v="12.5"/>
    <n v="140"/>
    <x v="5"/>
    <n v="9851500"/>
    <n v="1150000"/>
    <n v="8701500"/>
  </r>
  <r>
    <x v="6"/>
    <x v="5"/>
    <x v="0"/>
    <n v="55872"/>
    <n v="10"/>
    <n v="175"/>
    <x v="10"/>
    <n v="10336320"/>
    <n v="1000000"/>
    <n v="9336320"/>
  </r>
  <r>
    <x v="6"/>
    <x v="5"/>
    <x v="0"/>
    <n v="55872"/>
    <n v="10"/>
    <n v="175"/>
    <x v="10"/>
    <n v="10336320"/>
    <n v="1000000"/>
    <n v="9336320"/>
  </r>
  <r>
    <x v="5"/>
    <x v="5"/>
    <x v="1"/>
    <n v="63050"/>
    <n v="10"/>
    <n v="135"/>
    <x v="11"/>
    <n v="9142250"/>
    <n v="1150000"/>
    <n v="7992250"/>
  </r>
  <r>
    <x v="5"/>
    <x v="5"/>
    <x v="1"/>
    <n v="63050"/>
    <n v="10"/>
    <n v="135"/>
    <x v="11"/>
    <n v="9142250"/>
    <n v="1150000"/>
    <n v="7992250"/>
  </r>
  <r>
    <x v="7"/>
    <x v="5"/>
    <x v="1"/>
    <n v="59800"/>
    <n v="10"/>
    <n v="135"/>
    <x v="11"/>
    <n v="8671000"/>
    <n v="800000"/>
    <n v="7871000"/>
  </r>
  <r>
    <x v="7"/>
    <x v="5"/>
    <x v="1"/>
    <n v="59800"/>
    <n v="10"/>
    <n v="135"/>
    <x v="11"/>
    <n v="8671000"/>
    <n v="800000"/>
    <n v="7871000"/>
  </r>
  <r>
    <x v="8"/>
    <x v="6"/>
    <x v="0"/>
    <n v="49036"/>
    <n v="7.5"/>
    <n v="175"/>
    <x v="12"/>
    <n v="8949070"/>
    <n v="925000"/>
    <n v="8024070"/>
  </r>
  <r>
    <x v="8"/>
    <x v="6"/>
    <x v="0"/>
    <n v="49036"/>
    <n v="7.5"/>
    <n v="175"/>
    <x v="12"/>
    <n v="8949070"/>
    <n v="925000"/>
    <n v="8024070"/>
  </r>
  <r>
    <x v="6"/>
    <x v="6"/>
    <x v="0"/>
    <n v="55872"/>
    <n v="7.5"/>
    <n v="175"/>
    <x v="12"/>
    <n v="10196640"/>
    <n v="1000000"/>
    <n v="9196640"/>
  </r>
  <r>
    <x v="6"/>
    <x v="6"/>
    <x v="0"/>
    <n v="55872"/>
    <n v="7.5"/>
    <n v="175"/>
    <x v="12"/>
    <n v="10196640"/>
    <n v="1000000"/>
    <n v="9196640"/>
  </r>
  <r>
    <x v="7"/>
    <x v="6"/>
    <x v="1"/>
    <n v="59800"/>
    <n v="7.5"/>
    <n v="135"/>
    <x v="13"/>
    <n v="8521500"/>
    <n v="800000"/>
    <n v="7721500"/>
  </r>
  <r>
    <x v="7"/>
    <x v="6"/>
    <x v="1"/>
    <n v="59800"/>
    <n v="7.5"/>
    <n v="135"/>
    <x v="13"/>
    <n v="8521500"/>
    <n v="800000"/>
    <n v="7721500"/>
  </r>
  <r>
    <x v="8"/>
    <x v="7"/>
    <x v="0"/>
    <n v="49036"/>
    <n v="5"/>
    <n v="175"/>
    <x v="14"/>
    <n v="8826480"/>
    <n v="925000"/>
    <n v="7901480"/>
  </r>
  <r>
    <x v="8"/>
    <x v="7"/>
    <x v="0"/>
    <n v="49036"/>
    <n v="5"/>
    <n v="175"/>
    <x v="14"/>
    <n v="8826480"/>
    <n v="925000"/>
    <n v="7901480"/>
  </r>
  <r>
    <x v="9"/>
    <x v="7"/>
    <x v="1"/>
    <n v="44296"/>
    <n v="5"/>
    <n v="135"/>
    <x v="15"/>
    <n v="6201440"/>
    <n v="800000"/>
    <n v="5401440"/>
  </r>
  <r>
    <x v="10"/>
    <x v="7"/>
    <x v="2"/>
    <n v="47000"/>
    <n v="5"/>
    <n v="140"/>
    <x v="11"/>
    <n v="6815000"/>
    <n v="900000"/>
    <n v="5915000"/>
  </r>
  <r>
    <x v="11"/>
    <x v="7"/>
    <x v="2"/>
    <n v="47595"/>
    <n v="5"/>
    <n v="140"/>
    <x v="11"/>
    <n v="6901275"/>
    <n v="900000"/>
    <n v="6001275"/>
  </r>
  <r>
    <x v="11"/>
    <x v="7"/>
    <x v="2"/>
    <n v="47595"/>
    <n v="5"/>
    <n v="140"/>
    <x v="11"/>
    <n v="6901275"/>
    <n v="900000"/>
    <n v="6001275"/>
  </r>
  <r>
    <x v="12"/>
    <x v="8"/>
    <x v="0"/>
    <n v="37260"/>
    <n v="2.5"/>
    <n v="175"/>
    <x v="16"/>
    <n v="6613650"/>
    <n v="700000"/>
    <n v="5913650"/>
  </r>
  <r>
    <x v="13"/>
    <x v="8"/>
    <x v="0"/>
    <n v="40608"/>
    <n v="2.5"/>
    <n v="175"/>
    <x v="16"/>
    <n v="7207920"/>
    <n v="700000"/>
    <n v="6507920"/>
  </r>
  <r>
    <x v="13"/>
    <x v="8"/>
    <x v="0"/>
    <n v="40608"/>
    <n v="2.5"/>
    <n v="175"/>
    <x v="16"/>
    <n v="7207920"/>
    <n v="700000"/>
    <n v="6507920"/>
  </r>
  <r>
    <x v="8"/>
    <x v="8"/>
    <x v="0"/>
    <n v="49036"/>
    <n v="2.5"/>
    <n v="175"/>
    <x v="16"/>
    <n v="8703890"/>
    <n v="925000"/>
    <n v="7778890"/>
  </r>
  <r>
    <x v="14"/>
    <x v="8"/>
    <x v="1"/>
    <n v="44135"/>
    <n v="2.5"/>
    <n v="135"/>
    <x v="17"/>
    <n v="6068562.5"/>
    <n v="800000"/>
    <n v="5268562.5"/>
  </r>
  <r>
    <x v="15"/>
    <x v="8"/>
    <x v="1"/>
    <n v="41850"/>
    <n v="2.5"/>
    <n v="135"/>
    <x v="17"/>
    <n v="5754375"/>
    <n v="800000"/>
    <n v="4954375"/>
  </r>
  <r>
    <x v="16"/>
    <x v="9"/>
    <x v="0"/>
    <n v="30576"/>
    <n v="0"/>
    <n v="175"/>
    <x v="18"/>
    <n v="5350800"/>
    <n v="600000"/>
    <n v="4750800"/>
  </r>
  <r>
    <x v="13"/>
    <x v="9"/>
    <x v="0"/>
    <n v="40608"/>
    <n v="0"/>
    <n v="175"/>
    <x v="18"/>
    <n v="7106400"/>
    <n v="700000"/>
    <n v="6406400"/>
  </r>
  <r>
    <x v="13"/>
    <x v="9"/>
    <x v="0"/>
    <n v="40608"/>
    <n v="0"/>
    <n v="175"/>
    <x v="18"/>
    <n v="7106400"/>
    <n v="700000"/>
    <n v="6406400"/>
  </r>
  <r>
    <x v="17"/>
    <x v="9"/>
    <x v="0"/>
    <n v="32870"/>
    <n v="0"/>
    <n v="175"/>
    <x v="18"/>
    <n v="5752250"/>
    <n v="600000"/>
    <n v="5152250"/>
  </r>
  <r>
    <x v="18"/>
    <x v="9"/>
    <x v="0"/>
    <n v="26100"/>
    <n v="0"/>
    <n v="175"/>
    <x v="18"/>
    <n v="4567500"/>
    <n v="500000"/>
    <n v="4067500"/>
  </r>
  <r>
    <x v="19"/>
    <x v="9"/>
    <x v="0"/>
    <n v="28796"/>
    <n v="0"/>
    <n v="175"/>
    <x v="18"/>
    <n v="5039300"/>
    <n v="550000"/>
    <n v="44893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x v="0"/>
    <n v="115000"/>
    <n v="22.5"/>
    <n v="135"/>
    <n v="157.5"/>
    <n v="18112500"/>
    <n v="2000000"/>
    <n v="1.4999999999999999E-2"/>
    <n v="271687.5"/>
    <n v="15840812.5"/>
  </r>
  <r>
    <x v="0"/>
    <x v="0"/>
    <x v="0"/>
    <n v="115000"/>
    <n v="22.5"/>
    <n v="135"/>
    <n v="157.5"/>
    <n v="18112500"/>
    <n v="2000000"/>
    <n v="1.4999999999999999E-2"/>
    <n v="271687.5"/>
    <n v="15840812.5"/>
  </r>
  <r>
    <x v="1"/>
    <x v="0"/>
    <x v="0"/>
    <n v="63050"/>
    <n v="22.5"/>
    <n v="135"/>
    <n v="157.5"/>
    <n v="9930375"/>
    <n v="1150000"/>
    <n v="1.4999999999999999E-2"/>
    <n v="148955.625"/>
    <n v="8631419.375"/>
  </r>
  <r>
    <x v="1"/>
    <x v="0"/>
    <x v="0"/>
    <n v="63050"/>
    <n v="22.5"/>
    <n v="135"/>
    <n v="157.5"/>
    <n v="9930375"/>
    <n v="1150000"/>
    <n v="1.4999999999999999E-2"/>
    <n v="148955.625"/>
    <n v="8631419.375"/>
  </r>
  <r>
    <x v="2"/>
    <x v="0"/>
    <x v="0"/>
    <n v="59800"/>
    <n v="22.5"/>
    <n v="135"/>
    <n v="157.5"/>
    <n v="9418500"/>
    <n v="800000"/>
    <n v="1.2500000000000001E-2"/>
    <n v="117731.25"/>
    <n v="8500768.75"/>
  </r>
  <r>
    <x v="2"/>
    <x v="0"/>
    <x v="0"/>
    <n v="59800"/>
    <n v="22.5"/>
    <n v="135"/>
    <n v="157.5"/>
    <n v="9418500"/>
    <n v="800000"/>
    <n v="1.2500000000000001E-2"/>
    <n v="117731.25"/>
    <n v="8500768.75"/>
  </r>
  <r>
    <x v="3"/>
    <x v="1"/>
    <x v="1"/>
    <n v="85000"/>
    <n v="20"/>
    <n v="175"/>
    <n v="195"/>
    <n v="16575000"/>
    <n v="1400000"/>
    <n v="1.2500000000000001E-2"/>
    <n v="207187.5"/>
    <n v="14967812.5"/>
  </r>
  <r>
    <x v="3"/>
    <x v="1"/>
    <x v="1"/>
    <n v="85000"/>
    <n v="20"/>
    <n v="175"/>
    <n v="195"/>
    <n v="16575000"/>
    <n v="1400000"/>
    <n v="1.2500000000000001E-2"/>
    <n v="207187.5"/>
    <n v="14967812.5"/>
  </r>
  <r>
    <x v="4"/>
    <x v="1"/>
    <x v="1"/>
    <n v="66975"/>
    <n v="20"/>
    <n v="175"/>
    <n v="195"/>
    <n v="13060125"/>
    <n v="1225000"/>
    <n v="2.2499999999999999E-2"/>
    <n v="293852.8125"/>
    <n v="11541272.1875"/>
  </r>
  <r>
    <x v="4"/>
    <x v="1"/>
    <x v="1"/>
    <n v="66975"/>
    <n v="20"/>
    <n v="175"/>
    <n v="195"/>
    <n v="13060125"/>
    <n v="1225000"/>
    <n v="2.2499999999999999E-2"/>
    <n v="293852.8125"/>
    <n v="11541272.1875"/>
  </r>
  <r>
    <x v="5"/>
    <x v="1"/>
    <x v="1"/>
    <n v="105000"/>
    <n v="20"/>
    <n v="175"/>
    <n v="195"/>
    <n v="20475000"/>
    <n v="1725000"/>
    <n v="1.2500000000000001E-2"/>
    <n v="255937.5"/>
    <n v="18494062.5"/>
  </r>
  <r>
    <x v="5"/>
    <x v="1"/>
    <x v="1"/>
    <n v="105000"/>
    <n v="20"/>
    <n v="175"/>
    <n v="195"/>
    <n v="20475000"/>
    <n v="1725000"/>
    <n v="1.2500000000000001E-2"/>
    <n v="255937.5"/>
    <n v="18494062.5"/>
  </r>
  <r>
    <x v="3"/>
    <x v="2"/>
    <x v="1"/>
    <n v="85000"/>
    <n v="17.5"/>
    <n v="175"/>
    <n v="192.5"/>
    <n v="16362500"/>
    <n v="1400000"/>
    <n v="1.2500000000000001E-2"/>
    <n v="204531.25"/>
    <n v="14757968.75"/>
  </r>
  <r>
    <x v="3"/>
    <x v="2"/>
    <x v="1"/>
    <n v="85000"/>
    <n v="17.5"/>
    <n v="175"/>
    <n v="192.5"/>
    <n v="16362500"/>
    <n v="1400000"/>
    <n v="1.2500000000000001E-2"/>
    <n v="204531.25"/>
    <n v="14757968.75"/>
  </r>
  <r>
    <x v="4"/>
    <x v="2"/>
    <x v="1"/>
    <n v="66975"/>
    <n v="17.5"/>
    <n v="175"/>
    <n v="192.5"/>
    <n v="12892687.5"/>
    <n v="1225000"/>
    <n v="2.2499999999999999E-2"/>
    <n v="290085.46875"/>
    <n v="11377602.03125"/>
  </r>
  <r>
    <x v="5"/>
    <x v="2"/>
    <x v="1"/>
    <n v="105000"/>
    <n v="17.5"/>
    <n v="175"/>
    <n v="192.5"/>
    <n v="20212500"/>
    <n v="1725000"/>
    <n v="1.2500000000000001E-2"/>
    <n v="252656.25"/>
    <n v="18234843.75"/>
  </r>
  <r>
    <x v="5"/>
    <x v="2"/>
    <x v="1"/>
    <n v="105000"/>
    <n v="17.5"/>
    <n v="175"/>
    <n v="192.5"/>
    <n v="20212500"/>
    <n v="1725000"/>
    <n v="1.2500000000000001E-2"/>
    <n v="252656.25"/>
    <n v="18234843.75"/>
  </r>
  <r>
    <x v="6"/>
    <x v="2"/>
    <x v="2"/>
    <n v="64600"/>
    <n v="17.5"/>
    <n v="140"/>
    <n v="157.5"/>
    <n v="10174500"/>
    <n v="1150000"/>
    <n v="1.7500000000000002E-2"/>
    <n v="178053.75"/>
    <n v="8846446.25"/>
  </r>
  <r>
    <x v="0"/>
    <x v="3"/>
    <x v="0"/>
    <n v="115000"/>
    <n v="15"/>
    <n v="135"/>
    <n v="150"/>
    <n v="17250000"/>
    <n v="2000000"/>
    <n v="1.4999999999999999E-2"/>
    <n v="258750"/>
    <n v="14991250"/>
  </r>
  <r>
    <x v="0"/>
    <x v="3"/>
    <x v="0"/>
    <n v="115000"/>
    <n v="15"/>
    <n v="135"/>
    <n v="150"/>
    <n v="17250000"/>
    <n v="2000000"/>
    <n v="1.4999999999999999E-2"/>
    <n v="258750"/>
    <n v="14991250"/>
  </r>
  <r>
    <x v="1"/>
    <x v="3"/>
    <x v="0"/>
    <n v="63050"/>
    <n v="15"/>
    <n v="135"/>
    <n v="150"/>
    <n v="9457500"/>
    <n v="1150000"/>
    <n v="1.4999999999999999E-2"/>
    <n v="141862.5"/>
    <n v="8165637.5"/>
  </r>
  <r>
    <x v="1"/>
    <x v="3"/>
    <x v="0"/>
    <n v="63050"/>
    <n v="15"/>
    <n v="135"/>
    <n v="150"/>
    <n v="9457500"/>
    <n v="1150000"/>
    <n v="1.4999999999999999E-2"/>
    <n v="141862.5"/>
    <n v="8165637.5"/>
  </r>
  <r>
    <x v="2"/>
    <x v="3"/>
    <x v="0"/>
    <n v="59800"/>
    <n v="15"/>
    <n v="135"/>
    <n v="150"/>
    <n v="8970000"/>
    <n v="800000"/>
    <n v="1.2500000000000001E-2"/>
    <n v="112125"/>
    <n v="8057875"/>
  </r>
  <r>
    <x v="2"/>
    <x v="3"/>
    <x v="0"/>
    <n v="59800"/>
    <n v="15"/>
    <n v="135"/>
    <n v="150"/>
    <n v="8970000"/>
    <n v="800000"/>
    <n v="1.2500000000000001E-2"/>
    <n v="112125"/>
    <n v="8057875"/>
  </r>
  <r>
    <x v="3"/>
    <x v="4"/>
    <x v="1"/>
    <n v="85000"/>
    <n v="12.5"/>
    <n v="175"/>
    <n v="187.5"/>
    <n v="15937500"/>
    <n v="1400000"/>
    <n v="1.2500000000000001E-2"/>
    <n v="199218.75"/>
    <n v="14338281.25"/>
  </r>
  <r>
    <x v="4"/>
    <x v="4"/>
    <x v="1"/>
    <n v="66975"/>
    <n v="12.5"/>
    <n v="175"/>
    <n v="187.5"/>
    <n v="12557812.5"/>
    <n v="1225000"/>
    <n v="2.2499999999999999E-2"/>
    <n v="282550.78125"/>
    <n v="11050261.71875"/>
  </r>
  <r>
    <x v="5"/>
    <x v="4"/>
    <x v="1"/>
    <n v="105000"/>
    <n v="12.5"/>
    <n v="175"/>
    <n v="187.5"/>
    <n v="19687500"/>
    <n v="1725000"/>
    <n v="1.2500000000000001E-2"/>
    <n v="246093.75"/>
    <n v="17716406.25"/>
  </r>
  <r>
    <x v="7"/>
    <x v="4"/>
    <x v="1"/>
    <n v="55872"/>
    <n v="12.5"/>
    <n v="175"/>
    <n v="187.5"/>
    <n v="10476000"/>
    <n v="1000000"/>
    <n v="2.2499999999999999E-2"/>
    <n v="235710"/>
    <n v="9240290"/>
  </r>
  <r>
    <x v="6"/>
    <x v="4"/>
    <x v="2"/>
    <n v="64600"/>
    <n v="12.5"/>
    <n v="140"/>
    <n v="152.5"/>
    <n v="9851500"/>
    <n v="1150000"/>
    <n v="1.7500000000000002E-2"/>
    <n v="172401.25"/>
    <n v="8529098.75"/>
  </r>
  <r>
    <x v="6"/>
    <x v="4"/>
    <x v="2"/>
    <n v="64600"/>
    <n v="12.5"/>
    <n v="140"/>
    <n v="152.5"/>
    <n v="9851500"/>
    <n v="1150000"/>
    <n v="1.7500000000000002E-2"/>
    <n v="172401.25"/>
    <n v="8529098.75"/>
  </r>
  <r>
    <x v="4"/>
    <x v="5"/>
    <x v="1"/>
    <n v="66975"/>
    <n v="10"/>
    <n v="175"/>
    <n v="185"/>
    <n v="12390375"/>
    <n v="1225000"/>
    <n v="2.2499999999999999E-2"/>
    <n v="278783.4375"/>
    <n v="10886591.5625"/>
  </r>
  <r>
    <x v="8"/>
    <x v="5"/>
    <x v="1"/>
    <n v="49036"/>
    <n v="10"/>
    <n v="175"/>
    <n v="185"/>
    <n v="9071660"/>
    <n v="925000"/>
    <n v="1.7500000000000002E-2"/>
    <n v="158754.05000000002"/>
    <n v="7987905.9500000002"/>
  </r>
  <r>
    <x v="7"/>
    <x v="5"/>
    <x v="1"/>
    <n v="55872"/>
    <n v="10"/>
    <n v="175"/>
    <n v="185"/>
    <n v="10336320"/>
    <n v="1000000"/>
    <n v="2.2499999999999999E-2"/>
    <n v="232567.19999999998"/>
    <n v="9103752.8000000007"/>
  </r>
  <r>
    <x v="7"/>
    <x v="5"/>
    <x v="1"/>
    <n v="55872"/>
    <n v="10"/>
    <n v="175"/>
    <n v="185"/>
    <n v="10336320"/>
    <n v="1000000"/>
    <n v="2.2499999999999999E-2"/>
    <n v="232567.19999999998"/>
    <n v="9103752.8000000007"/>
  </r>
  <r>
    <x v="6"/>
    <x v="5"/>
    <x v="2"/>
    <n v="64600"/>
    <n v="10"/>
    <n v="140"/>
    <n v="150"/>
    <n v="9690000"/>
    <n v="1150000"/>
    <n v="1.7500000000000002E-2"/>
    <n v="169575.00000000003"/>
    <n v="8370425"/>
  </r>
  <r>
    <x v="6"/>
    <x v="5"/>
    <x v="2"/>
    <n v="64600"/>
    <n v="10"/>
    <n v="140"/>
    <n v="150"/>
    <n v="9690000"/>
    <n v="1150000"/>
    <n v="1.7500000000000002E-2"/>
    <n v="169575.00000000003"/>
    <n v="8370425"/>
  </r>
  <r>
    <x v="9"/>
    <x v="6"/>
    <x v="1"/>
    <n v="40608"/>
    <n v="7.5"/>
    <n v="175"/>
    <n v="182.5"/>
    <n v="7410960"/>
    <n v="700000"/>
    <n v="2.2499999999999999E-2"/>
    <n v="166746.6"/>
    <n v="6544213.4000000004"/>
  </r>
  <r>
    <x v="8"/>
    <x v="6"/>
    <x v="1"/>
    <n v="49036"/>
    <n v="7.5"/>
    <n v="175"/>
    <n v="182.5"/>
    <n v="8949070"/>
    <n v="925000"/>
    <n v="1.7500000000000002E-2"/>
    <n v="156608.72500000001"/>
    <n v="7867461.2750000004"/>
  </r>
  <r>
    <x v="8"/>
    <x v="6"/>
    <x v="1"/>
    <n v="49036"/>
    <n v="7.5"/>
    <n v="175"/>
    <n v="182.5"/>
    <n v="8949070"/>
    <n v="925000"/>
    <n v="1.7500000000000002E-2"/>
    <n v="156608.72500000001"/>
    <n v="7867461.2750000004"/>
  </r>
  <r>
    <x v="7"/>
    <x v="6"/>
    <x v="1"/>
    <n v="55872"/>
    <n v="7.5"/>
    <n v="175"/>
    <n v="182.5"/>
    <n v="10196640"/>
    <n v="1000000"/>
    <n v="2.2499999999999999E-2"/>
    <n v="229424.40000000002"/>
    <n v="8967215.5999999996"/>
  </r>
  <r>
    <x v="7"/>
    <x v="6"/>
    <x v="1"/>
    <n v="55872"/>
    <n v="7.5"/>
    <n v="175"/>
    <n v="182.5"/>
    <n v="10196640"/>
    <n v="1000000"/>
    <n v="2.2499999999999999E-2"/>
    <n v="229424.40000000002"/>
    <n v="8967215.5999999996"/>
  </r>
  <r>
    <x v="10"/>
    <x v="6"/>
    <x v="2"/>
    <n v="47595"/>
    <n v="7.5"/>
    <n v="140"/>
    <n v="147.5"/>
    <n v="7020262.5"/>
    <n v="900000"/>
    <n v="1.7500000000000002E-2"/>
    <n v="122854.59375000001"/>
    <n v="5997407.90625"/>
  </r>
  <r>
    <x v="11"/>
    <x v="7"/>
    <x v="1"/>
    <n v="37260"/>
    <n v="5"/>
    <n v="175"/>
    <n v="180"/>
    <n v="6706800"/>
    <n v="700000"/>
    <n v="0.02"/>
    <n v="134136"/>
    <n v="5872664"/>
  </r>
  <r>
    <x v="9"/>
    <x v="7"/>
    <x v="1"/>
    <n v="40608"/>
    <n v="5"/>
    <n v="175"/>
    <n v="180"/>
    <n v="7309440"/>
    <n v="700000"/>
    <n v="2.2499999999999999E-2"/>
    <n v="164462.39999999999"/>
    <n v="6444977.5999999996"/>
  </r>
  <r>
    <x v="9"/>
    <x v="7"/>
    <x v="1"/>
    <n v="40608"/>
    <n v="5"/>
    <n v="175"/>
    <n v="180"/>
    <n v="7309440"/>
    <n v="700000"/>
    <n v="2.2499999999999999E-2"/>
    <n v="164462.39999999999"/>
    <n v="6444977.5999999996"/>
  </r>
  <r>
    <x v="8"/>
    <x v="7"/>
    <x v="1"/>
    <n v="49036"/>
    <n v="5"/>
    <n v="175"/>
    <n v="180"/>
    <n v="8826480"/>
    <n v="925000"/>
    <n v="1.7500000000000002E-2"/>
    <n v="154463.40000000002"/>
    <n v="7747016.5999999996"/>
  </r>
  <r>
    <x v="8"/>
    <x v="7"/>
    <x v="1"/>
    <n v="49036"/>
    <n v="5"/>
    <n v="175"/>
    <n v="180"/>
    <n v="8826480"/>
    <n v="925000"/>
    <n v="1.7500000000000002E-2"/>
    <n v="154463.40000000002"/>
    <n v="7747016.5999999996"/>
  </r>
  <r>
    <x v="12"/>
    <x v="7"/>
    <x v="2"/>
    <n v="47000"/>
    <n v="5"/>
    <n v="140"/>
    <n v="145"/>
    <n v="6815000"/>
    <n v="900000"/>
    <n v="1.7500000000000002E-2"/>
    <n v="119262.5"/>
    <n v="5795737.5"/>
  </r>
  <r>
    <x v="13"/>
    <x v="8"/>
    <x v="1"/>
    <n v="30576"/>
    <n v="2.5"/>
    <n v="175"/>
    <n v="177.5"/>
    <n v="5427240"/>
    <n v="600000"/>
    <n v="2.2499999999999999E-2"/>
    <n v="122112.9"/>
    <n v="4705127.0999999996"/>
  </r>
  <r>
    <x v="9"/>
    <x v="8"/>
    <x v="1"/>
    <n v="40608"/>
    <n v="2.5"/>
    <n v="175"/>
    <n v="177.5"/>
    <n v="7207920"/>
    <n v="700000"/>
    <n v="2.2499999999999999E-2"/>
    <n v="162178.19999999998"/>
    <n v="6345741.7999999998"/>
  </r>
  <r>
    <x v="9"/>
    <x v="8"/>
    <x v="1"/>
    <n v="40608"/>
    <n v="2.5"/>
    <n v="175"/>
    <n v="177.5"/>
    <n v="7207920"/>
    <n v="700000"/>
    <n v="2.2499999999999999E-2"/>
    <n v="162178.19999999998"/>
    <n v="6345741.7999999998"/>
  </r>
  <r>
    <x v="14"/>
    <x v="8"/>
    <x v="1"/>
    <n v="32870"/>
    <n v="2.5"/>
    <n v="175"/>
    <n v="177.5"/>
    <n v="5834425"/>
    <n v="600000"/>
    <n v="1.4999999999999999E-2"/>
    <n v="87516.375"/>
    <n v="5146908.625"/>
  </r>
  <r>
    <x v="15"/>
    <x v="8"/>
    <x v="1"/>
    <n v="26100"/>
    <n v="2.5"/>
    <n v="175"/>
    <n v="177.5"/>
    <n v="4632750"/>
    <n v="500000"/>
    <n v="1.7500000000000002E-2"/>
    <n v="81073.125"/>
    <n v="4051676.875"/>
  </r>
  <r>
    <x v="16"/>
    <x v="8"/>
    <x v="1"/>
    <n v="28796"/>
    <n v="2.5"/>
    <n v="175"/>
    <n v="177.5"/>
    <n v="5111290"/>
    <n v="550000"/>
    <n v="0.02"/>
    <n v="102225.8"/>
    <n v="4459064.2"/>
  </r>
  <r>
    <x v="0"/>
    <x v="9"/>
    <x v="0"/>
    <n v="115000"/>
    <n v="0"/>
    <n v="135"/>
    <n v="135"/>
    <n v="15525000"/>
    <n v="2000000"/>
    <n v="1.4999999999999999E-2"/>
    <n v="232875"/>
    <n v="13292125"/>
  </r>
  <r>
    <x v="17"/>
    <x v="9"/>
    <x v="0"/>
    <n v="44135"/>
    <n v="0"/>
    <n v="135"/>
    <n v="135"/>
    <n v="5958225"/>
    <n v="800000"/>
    <n v="1.4999999999999999E-2"/>
    <n v="89373.375"/>
    <n v="5068851.625"/>
  </r>
  <r>
    <x v="18"/>
    <x v="9"/>
    <x v="0"/>
    <n v="44296"/>
    <n v="0"/>
    <n v="135"/>
    <n v="135"/>
    <n v="5979960"/>
    <n v="800000"/>
    <n v="0.02"/>
    <n v="119599.20000000001"/>
    <n v="5060360.8"/>
  </r>
  <r>
    <x v="19"/>
    <x v="9"/>
    <x v="0"/>
    <n v="41850"/>
    <n v="0"/>
    <n v="135"/>
    <n v="135"/>
    <n v="5649750"/>
    <n v="800000"/>
    <n v="0.02"/>
    <n v="112995.00000000001"/>
    <n v="4736755"/>
  </r>
  <r>
    <x v="1"/>
    <x v="9"/>
    <x v="0"/>
    <n v="63050"/>
    <n v="0"/>
    <n v="135"/>
    <n v="135"/>
    <n v="8511750"/>
    <n v="1150000"/>
    <n v="1.4999999999999999E-2"/>
    <n v="127676.25"/>
    <n v="7234073.75"/>
  </r>
  <r>
    <x v="2"/>
    <x v="9"/>
    <x v="0"/>
    <n v="59800"/>
    <n v="0"/>
    <n v="135"/>
    <n v="135"/>
    <n v="8073000"/>
    <n v="800000"/>
    <n v="1.2500000000000001E-2"/>
    <n v="100912.5"/>
    <n v="7172087.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x v="0"/>
    <n v="85000"/>
    <n v="22.5"/>
    <n v="175"/>
    <n v="197.5"/>
    <n v="16787500"/>
    <n v="1400000"/>
    <n v="15387500"/>
    <x v="0"/>
  </r>
  <r>
    <x v="0"/>
    <x v="0"/>
    <x v="0"/>
    <n v="85000"/>
    <n v="22.5"/>
    <n v="175"/>
    <n v="197.5"/>
    <n v="16787500"/>
    <n v="1400000"/>
    <n v="15387500"/>
    <x v="0"/>
  </r>
  <r>
    <x v="1"/>
    <x v="0"/>
    <x v="0"/>
    <n v="105000"/>
    <n v="22.5"/>
    <n v="175"/>
    <n v="197.5"/>
    <n v="20737500"/>
    <n v="1725000"/>
    <n v="19012500"/>
    <x v="0"/>
  </r>
  <r>
    <x v="1"/>
    <x v="0"/>
    <x v="0"/>
    <n v="105000"/>
    <n v="22.5"/>
    <n v="175"/>
    <n v="197.5"/>
    <n v="20737500"/>
    <n v="1725000"/>
    <n v="19012500"/>
    <x v="0"/>
  </r>
  <r>
    <x v="2"/>
    <x v="0"/>
    <x v="1"/>
    <n v="115000"/>
    <n v="22.5"/>
    <n v="135"/>
    <n v="157.5"/>
    <n v="18112500"/>
    <n v="2000000"/>
    <n v="16112500"/>
    <x v="0"/>
  </r>
  <r>
    <x v="2"/>
    <x v="0"/>
    <x v="1"/>
    <n v="115000"/>
    <n v="22.5"/>
    <n v="135"/>
    <n v="157.5"/>
    <n v="18112500"/>
    <n v="2000000"/>
    <n v="16112500"/>
    <x v="0"/>
  </r>
  <r>
    <x v="0"/>
    <x v="1"/>
    <x v="0"/>
    <n v="85000"/>
    <n v="20"/>
    <n v="175"/>
    <n v="195"/>
    <n v="16575000"/>
    <n v="1400000"/>
    <n v="15175000"/>
    <x v="0"/>
  </r>
  <r>
    <x v="0"/>
    <x v="1"/>
    <x v="0"/>
    <n v="85000"/>
    <n v="20"/>
    <n v="175"/>
    <n v="195"/>
    <n v="16575000"/>
    <n v="1400000"/>
    <n v="15175000"/>
    <x v="0"/>
  </r>
  <r>
    <x v="1"/>
    <x v="1"/>
    <x v="0"/>
    <n v="105000"/>
    <n v="20"/>
    <n v="175"/>
    <n v="195"/>
    <n v="20475000"/>
    <n v="1725000"/>
    <n v="18750000"/>
    <x v="0"/>
  </r>
  <r>
    <x v="1"/>
    <x v="1"/>
    <x v="0"/>
    <n v="105000"/>
    <n v="20"/>
    <n v="175"/>
    <n v="195"/>
    <n v="20475000"/>
    <n v="1725000"/>
    <n v="18750000"/>
    <x v="0"/>
  </r>
  <r>
    <x v="2"/>
    <x v="1"/>
    <x v="1"/>
    <n v="115000"/>
    <n v="20"/>
    <n v="135"/>
    <n v="155"/>
    <n v="17825000"/>
    <n v="2000000"/>
    <n v="15825000"/>
    <x v="0"/>
  </r>
  <r>
    <x v="2"/>
    <x v="1"/>
    <x v="1"/>
    <n v="115000"/>
    <n v="20"/>
    <n v="135"/>
    <n v="155"/>
    <n v="17825000"/>
    <n v="2000000"/>
    <n v="15825000"/>
    <x v="0"/>
  </r>
  <r>
    <x v="0"/>
    <x v="2"/>
    <x v="0"/>
    <n v="85000"/>
    <n v="17.5"/>
    <n v="175"/>
    <n v="192.5"/>
    <n v="16362500"/>
    <n v="1400000"/>
    <n v="14962500"/>
    <x v="0"/>
  </r>
  <r>
    <x v="3"/>
    <x v="2"/>
    <x v="0"/>
    <n v="66975"/>
    <n v="17.5"/>
    <n v="175"/>
    <n v="192.5"/>
    <n v="12892687.5"/>
    <n v="1225000"/>
    <n v="11667687.5"/>
    <x v="0"/>
  </r>
  <r>
    <x v="3"/>
    <x v="2"/>
    <x v="0"/>
    <n v="66975"/>
    <n v="17.5"/>
    <n v="175"/>
    <n v="192.5"/>
    <n v="12892687.5"/>
    <n v="1225000"/>
    <n v="11667687.5"/>
    <x v="0"/>
  </r>
  <r>
    <x v="1"/>
    <x v="2"/>
    <x v="0"/>
    <n v="105000"/>
    <n v="17.5"/>
    <n v="175"/>
    <n v="192.5"/>
    <n v="20212500"/>
    <n v="1725000"/>
    <n v="18487500"/>
    <x v="0"/>
  </r>
  <r>
    <x v="2"/>
    <x v="2"/>
    <x v="1"/>
    <n v="115000"/>
    <n v="17.5"/>
    <n v="135"/>
    <n v="152.5"/>
    <n v="17537500"/>
    <n v="2000000"/>
    <n v="15537500"/>
    <x v="0"/>
  </r>
  <r>
    <x v="4"/>
    <x v="2"/>
    <x v="2"/>
    <n v="64600"/>
    <n v="17.5"/>
    <n v="140"/>
    <n v="157.5"/>
    <n v="10174500"/>
    <n v="1150000"/>
    <n v="9024500"/>
    <x v="0"/>
  </r>
  <r>
    <x v="3"/>
    <x v="3"/>
    <x v="0"/>
    <n v="66975"/>
    <n v="15"/>
    <n v="175"/>
    <n v="190"/>
    <n v="12725250"/>
    <n v="1225000"/>
    <n v="11500250"/>
    <x v="0"/>
  </r>
  <r>
    <x v="3"/>
    <x v="3"/>
    <x v="0"/>
    <n v="66975"/>
    <n v="15"/>
    <n v="175"/>
    <n v="190"/>
    <n v="12725250"/>
    <n v="1225000"/>
    <n v="11500250"/>
    <x v="0"/>
  </r>
  <r>
    <x v="5"/>
    <x v="3"/>
    <x v="1"/>
    <n v="63050"/>
    <n v="15"/>
    <n v="135"/>
    <n v="150"/>
    <n v="9457500"/>
    <n v="1150000"/>
    <n v="8307500"/>
    <x v="0"/>
  </r>
  <r>
    <x v="5"/>
    <x v="3"/>
    <x v="1"/>
    <n v="63050"/>
    <n v="15"/>
    <n v="135"/>
    <n v="150"/>
    <n v="9457500"/>
    <n v="1150000"/>
    <n v="8307500"/>
    <x v="0"/>
  </r>
  <r>
    <x v="4"/>
    <x v="3"/>
    <x v="2"/>
    <n v="64600"/>
    <n v="15"/>
    <n v="140"/>
    <n v="155"/>
    <n v="10013000"/>
    <n v="1150000"/>
    <n v="8863000"/>
    <x v="0"/>
  </r>
  <r>
    <x v="4"/>
    <x v="3"/>
    <x v="2"/>
    <n v="64600"/>
    <n v="15"/>
    <n v="140"/>
    <n v="155"/>
    <n v="10013000"/>
    <n v="1150000"/>
    <n v="8863000"/>
    <x v="0"/>
  </r>
  <r>
    <x v="3"/>
    <x v="4"/>
    <x v="0"/>
    <n v="66975"/>
    <n v="12.5"/>
    <n v="175"/>
    <n v="187.5"/>
    <n v="12557812.5"/>
    <n v="1225000"/>
    <n v="11332812.5"/>
    <x v="0"/>
  </r>
  <r>
    <x v="6"/>
    <x v="4"/>
    <x v="0"/>
    <n v="55872"/>
    <n v="12.5"/>
    <n v="175"/>
    <n v="187.5"/>
    <n v="10476000"/>
    <n v="1000000"/>
    <n v="9476000"/>
    <x v="0"/>
  </r>
  <r>
    <x v="5"/>
    <x v="4"/>
    <x v="1"/>
    <n v="63050"/>
    <n v="12.5"/>
    <n v="135"/>
    <n v="147.5"/>
    <n v="9299875"/>
    <n v="1150000"/>
    <n v="8149875"/>
    <x v="0"/>
  </r>
  <r>
    <x v="7"/>
    <x v="4"/>
    <x v="1"/>
    <n v="59800"/>
    <n v="12.5"/>
    <n v="135"/>
    <n v="147.5"/>
    <n v="8820500"/>
    <n v="800000"/>
    <n v="8020500"/>
    <x v="0"/>
  </r>
  <r>
    <x v="4"/>
    <x v="4"/>
    <x v="2"/>
    <n v="64600"/>
    <n v="12.5"/>
    <n v="140"/>
    <n v="152.5"/>
    <n v="9851500"/>
    <n v="1150000"/>
    <n v="8701500"/>
    <x v="0"/>
  </r>
  <r>
    <x v="4"/>
    <x v="4"/>
    <x v="2"/>
    <n v="64600"/>
    <n v="12.5"/>
    <n v="140"/>
    <n v="152.5"/>
    <n v="9851500"/>
    <n v="1150000"/>
    <n v="8701500"/>
    <x v="0"/>
  </r>
  <r>
    <x v="6"/>
    <x v="5"/>
    <x v="0"/>
    <n v="55872"/>
    <n v="10"/>
    <n v="175"/>
    <n v="185"/>
    <n v="10336320"/>
    <n v="1000000"/>
    <n v="9336320"/>
    <x v="0"/>
  </r>
  <r>
    <x v="6"/>
    <x v="5"/>
    <x v="0"/>
    <n v="55872"/>
    <n v="10"/>
    <n v="175"/>
    <n v="185"/>
    <n v="10336320"/>
    <n v="1000000"/>
    <n v="9336320"/>
    <x v="0"/>
  </r>
  <r>
    <x v="5"/>
    <x v="5"/>
    <x v="1"/>
    <n v="63050"/>
    <n v="10"/>
    <n v="135"/>
    <n v="145"/>
    <n v="9142250"/>
    <n v="1150000"/>
    <n v="7992250"/>
    <x v="0"/>
  </r>
  <r>
    <x v="5"/>
    <x v="5"/>
    <x v="1"/>
    <n v="63050"/>
    <n v="10"/>
    <n v="135"/>
    <n v="145"/>
    <n v="9142250"/>
    <n v="1150000"/>
    <n v="7992250"/>
    <x v="0"/>
  </r>
  <r>
    <x v="7"/>
    <x v="5"/>
    <x v="1"/>
    <n v="59800"/>
    <n v="10"/>
    <n v="135"/>
    <n v="145"/>
    <n v="8671000"/>
    <n v="800000"/>
    <n v="7871000"/>
    <x v="0"/>
  </r>
  <r>
    <x v="7"/>
    <x v="5"/>
    <x v="1"/>
    <n v="59800"/>
    <n v="10"/>
    <n v="135"/>
    <n v="145"/>
    <n v="8671000"/>
    <n v="800000"/>
    <n v="7871000"/>
    <x v="0"/>
  </r>
  <r>
    <x v="8"/>
    <x v="6"/>
    <x v="0"/>
    <n v="49036"/>
    <n v="7.5"/>
    <n v="175"/>
    <n v="182.5"/>
    <n v="8949070"/>
    <n v="925000"/>
    <n v="8024070"/>
    <x v="1"/>
  </r>
  <r>
    <x v="8"/>
    <x v="6"/>
    <x v="0"/>
    <n v="49036"/>
    <n v="7.5"/>
    <n v="175"/>
    <n v="182.5"/>
    <n v="8949070"/>
    <n v="925000"/>
    <n v="8024070"/>
    <x v="1"/>
  </r>
  <r>
    <x v="6"/>
    <x v="6"/>
    <x v="0"/>
    <n v="55872"/>
    <n v="7.5"/>
    <n v="175"/>
    <n v="182.5"/>
    <n v="10196640"/>
    <n v="1000000"/>
    <n v="9196640"/>
    <x v="0"/>
  </r>
  <r>
    <x v="6"/>
    <x v="6"/>
    <x v="0"/>
    <n v="55872"/>
    <n v="7.5"/>
    <n v="175"/>
    <n v="182.5"/>
    <n v="10196640"/>
    <n v="1000000"/>
    <n v="9196640"/>
    <x v="0"/>
  </r>
  <r>
    <x v="7"/>
    <x v="6"/>
    <x v="1"/>
    <n v="59800"/>
    <n v="7.5"/>
    <n v="135"/>
    <n v="142.5"/>
    <n v="8521500"/>
    <n v="800000"/>
    <n v="7721500"/>
    <x v="0"/>
  </r>
  <r>
    <x v="7"/>
    <x v="6"/>
    <x v="1"/>
    <n v="59800"/>
    <n v="7.5"/>
    <n v="135"/>
    <n v="142.5"/>
    <n v="8521500"/>
    <n v="800000"/>
    <n v="7721500"/>
    <x v="0"/>
  </r>
  <r>
    <x v="8"/>
    <x v="7"/>
    <x v="0"/>
    <n v="49036"/>
    <n v="5"/>
    <n v="175"/>
    <n v="180"/>
    <n v="8826480"/>
    <n v="925000"/>
    <n v="7901480"/>
    <x v="1"/>
  </r>
  <r>
    <x v="8"/>
    <x v="7"/>
    <x v="0"/>
    <n v="49036"/>
    <n v="5"/>
    <n v="175"/>
    <n v="180"/>
    <n v="8826480"/>
    <n v="925000"/>
    <n v="7901480"/>
    <x v="1"/>
  </r>
  <r>
    <x v="9"/>
    <x v="7"/>
    <x v="1"/>
    <n v="44296"/>
    <n v="5"/>
    <n v="135"/>
    <n v="140"/>
    <n v="6201440"/>
    <n v="800000"/>
    <n v="5401440"/>
    <x v="1"/>
  </r>
  <r>
    <x v="10"/>
    <x v="7"/>
    <x v="2"/>
    <n v="47000"/>
    <n v="5"/>
    <n v="140"/>
    <n v="145"/>
    <n v="6815000"/>
    <n v="900000"/>
    <n v="5915000"/>
    <x v="1"/>
  </r>
  <r>
    <x v="11"/>
    <x v="7"/>
    <x v="2"/>
    <n v="47595"/>
    <n v="5"/>
    <n v="140"/>
    <n v="145"/>
    <n v="6901275"/>
    <n v="900000"/>
    <n v="6001275"/>
    <x v="1"/>
  </r>
  <r>
    <x v="11"/>
    <x v="7"/>
    <x v="2"/>
    <n v="47595"/>
    <n v="5"/>
    <n v="140"/>
    <n v="145"/>
    <n v="6901275"/>
    <n v="900000"/>
    <n v="6001275"/>
    <x v="1"/>
  </r>
  <r>
    <x v="12"/>
    <x v="8"/>
    <x v="0"/>
    <n v="37260"/>
    <n v="2.5"/>
    <n v="175"/>
    <n v="177.5"/>
    <n v="6613650"/>
    <n v="700000"/>
    <n v="5913650"/>
    <x v="1"/>
  </r>
  <r>
    <x v="13"/>
    <x v="8"/>
    <x v="0"/>
    <n v="40608"/>
    <n v="2.5"/>
    <n v="175"/>
    <n v="177.5"/>
    <n v="7207920"/>
    <n v="700000"/>
    <n v="6507920"/>
    <x v="1"/>
  </r>
  <r>
    <x v="13"/>
    <x v="8"/>
    <x v="0"/>
    <n v="40608"/>
    <n v="2.5"/>
    <n v="175"/>
    <n v="177.5"/>
    <n v="7207920"/>
    <n v="700000"/>
    <n v="6507920"/>
    <x v="1"/>
  </r>
  <r>
    <x v="8"/>
    <x v="8"/>
    <x v="0"/>
    <n v="49036"/>
    <n v="2.5"/>
    <n v="175"/>
    <n v="177.5"/>
    <n v="8703890"/>
    <n v="925000"/>
    <n v="7778890"/>
    <x v="1"/>
  </r>
  <r>
    <x v="14"/>
    <x v="8"/>
    <x v="1"/>
    <n v="44135"/>
    <n v="2.5"/>
    <n v="135"/>
    <n v="137.5"/>
    <n v="6068562.5"/>
    <n v="800000"/>
    <n v="5268562.5"/>
    <x v="1"/>
  </r>
  <r>
    <x v="15"/>
    <x v="8"/>
    <x v="1"/>
    <n v="41850"/>
    <n v="2.5"/>
    <n v="135"/>
    <n v="137.5"/>
    <n v="5754375"/>
    <n v="800000"/>
    <n v="4954375"/>
    <x v="1"/>
  </r>
  <r>
    <x v="16"/>
    <x v="9"/>
    <x v="0"/>
    <n v="30576"/>
    <n v="0"/>
    <n v="175"/>
    <n v="175"/>
    <n v="5350800"/>
    <n v="600000"/>
    <n v="4750800"/>
    <x v="1"/>
  </r>
  <r>
    <x v="13"/>
    <x v="9"/>
    <x v="0"/>
    <n v="40608"/>
    <n v="0"/>
    <n v="175"/>
    <n v="175"/>
    <n v="7106400"/>
    <n v="700000"/>
    <n v="6406400"/>
    <x v="1"/>
  </r>
  <r>
    <x v="13"/>
    <x v="9"/>
    <x v="0"/>
    <n v="40608"/>
    <n v="0"/>
    <n v="175"/>
    <n v="175"/>
    <n v="7106400"/>
    <n v="700000"/>
    <n v="6406400"/>
    <x v="1"/>
  </r>
  <r>
    <x v="17"/>
    <x v="9"/>
    <x v="0"/>
    <n v="32870"/>
    <n v="0"/>
    <n v="175"/>
    <n v="175"/>
    <n v="5752250"/>
    <n v="600000"/>
    <n v="5152250"/>
    <x v="1"/>
  </r>
  <r>
    <x v="18"/>
    <x v="9"/>
    <x v="0"/>
    <n v="26100"/>
    <n v="0"/>
    <n v="175"/>
    <n v="175"/>
    <n v="4567500"/>
    <n v="500000"/>
    <n v="4067500"/>
    <x v="1"/>
  </r>
  <r>
    <x v="19"/>
    <x v="9"/>
    <x v="0"/>
    <n v="28796"/>
    <n v="0"/>
    <n v="175"/>
    <n v="175"/>
    <n v="5039300"/>
    <n v="550000"/>
    <n v="4489300"/>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n v="12"/>
    <x v="0"/>
    <s v="Maroc"/>
    <n v="115000"/>
    <n v="22.5"/>
    <n v="135"/>
    <n v="157.5"/>
    <n v="18112500"/>
    <n v="2000000"/>
    <n v="1.4999999999999999E-2"/>
    <n v="271687.5"/>
    <n v="15840812.5"/>
    <x v="0"/>
  </r>
  <r>
    <n v="12"/>
    <x v="0"/>
    <s v="Maroc"/>
    <n v="115000"/>
    <n v="22.5"/>
    <n v="135"/>
    <n v="157.5"/>
    <n v="18112500"/>
    <n v="2000000"/>
    <n v="1.4999999999999999E-2"/>
    <n v="271687.5"/>
    <n v="15840812.5"/>
    <x v="0"/>
  </r>
  <r>
    <n v="16"/>
    <x v="0"/>
    <s v="Maroc"/>
    <n v="63050"/>
    <n v="22.5"/>
    <n v="135"/>
    <n v="157.5"/>
    <n v="9930375"/>
    <n v="1150000"/>
    <n v="1.4999999999999999E-2"/>
    <n v="148955.625"/>
    <n v="8631419.375"/>
    <x v="0"/>
  </r>
  <r>
    <n v="16"/>
    <x v="0"/>
    <s v="Maroc"/>
    <n v="63050"/>
    <n v="22.5"/>
    <n v="135"/>
    <n v="157.5"/>
    <n v="9930375"/>
    <n v="1150000"/>
    <n v="1.4999999999999999E-2"/>
    <n v="148955.625"/>
    <n v="8631419.375"/>
    <x v="0"/>
  </r>
  <r>
    <n v="17"/>
    <x v="0"/>
    <s v="Maroc"/>
    <n v="59800"/>
    <n v="22.5"/>
    <n v="135"/>
    <n v="157.5"/>
    <n v="9418500"/>
    <n v="800000"/>
    <n v="1.2500000000000001E-2"/>
    <n v="117731.25"/>
    <n v="8500768.75"/>
    <x v="0"/>
  </r>
  <r>
    <n v="17"/>
    <x v="0"/>
    <s v="Maroc"/>
    <n v="59800"/>
    <n v="22.5"/>
    <n v="135"/>
    <n v="157.5"/>
    <n v="9418500"/>
    <n v="800000"/>
    <n v="1.2500000000000001E-2"/>
    <n v="117731.25"/>
    <n v="8500768.75"/>
    <x v="0"/>
  </r>
  <r>
    <n v="1"/>
    <x v="1"/>
    <s v="Espagne"/>
    <n v="85000"/>
    <n v="20"/>
    <n v="175"/>
    <n v="195"/>
    <n v="16575000"/>
    <n v="1400000"/>
    <n v="1.2500000000000001E-2"/>
    <n v="207187.5"/>
    <n v="14967812.5"/>
    <x v="0"/>
  </r>
  <r>
    <n v="1"/>
    <x v="1"/>
    <s v="Espagne"/>
    <n v="85000"/>
    <n v="20"/>
    <n v="175"/>
    <n v="195"/>
    <n v="16575000"/>
    <n v="1400000"/>
    <n v="1.2500000000000001E-2"/>
    <n v="207187.5"/>
    <n v="14967812.5"/>
    <x v="0"/>
  </r>
  <r>
    <n v="2"/>
    <x v="1"/>
    <s v="Espagne"/>
    <n v="66975"/>
    <n v="20"/>
    <n v="175"/>
    <n v="195"/>
    <n v="13060125"/>
    <n v="1225000"/>
    <n v="2.2499999999999999E-2"/>
    <n v="293852.8125"/>
    <n v="11541272.1875"/>
    <x v="0"/>
  </r>
  <r>
    <n v="2"/>
    <x v="1"/>
    <s v="Espagne"/>
    <n v="66975"/>
    <n v="20"/>
    <n v="175"/>
    <n v="195"/>
    <n v="13060125"/>
    <n v="1225000"/>
    <n v="2.2499999999999999E-2"/>
    <n v="293852.8125"/>
    <n v="11541272.1875"/>
    <x v="0"/>
  </r>
  <r>
    <n v="5"/>
    <x v="1"/>
    <s v="Espagne"/>
    <n v="105000"/>
    <n v="20"/>
    <n v="175"/>
    <n v="195"/>
    <n v="20475000"/>
    <n v="1725000"/>
    <n v="1.2500000000000001E-2"/>
    <n v="255937.5"/>
    <n v="18494062.5"/>
    <x v="0"/>
  </r>
  <r>
    <n v="5"/>
    <x v="1"/>
    <s v="Espagne"/>
    <n v="105000"/>
    <n v="20"/>
    <n v="175"/>
    <n v="195"/>
    <n v="20475000"/>
    <n v="1725000"/>
    <n v="1.2500000000000001E-2"/>
    <n v="255937.5"/>
    <n v="18494062.5"/>
    <x v="0"/>
  </r>
  <r>
    <n v="1"/>
    <x v="2"/>
    <s v="Espagne"/>
    <n v="85000"/>
    <n v="17.5"/>
    <n v="175"/>
    <n v="192.5"/>
    <n v="16362500"/>
    <n v="1400000"/>
    <n v="1.2500000000000001E-2"/>
    <n v="204531.25"/>
    <n v="14757968.75"/>
    <x v="0"/>
  </r>
  <r>
    <n v="1"/>
    <x v="2"/>
    <s v="Espagne"/>
    <n v="85000"/>
    <n v="17.5"/>
    <n v="175"/>
    <n v="192.5"/>
    <n v="16362500"/>
    <n v="1400000"/>
    <n v="1.2500000000000001E-2"/>
    <n v="204531.25"/>
    <n v="14757968.75"/>
    <x v="0"/>
  </r>
  <r>
    <n v="2"/>
    <x v="2"/>
    <s v="Espagne"/>
    <n v="66975"/>
    <n v="17.5"/>
    <n v="175"/>
    <n v="192.5"/>
    <n v="12892687.5"/>
    <n v="1225000"/>
    <n v="2.2499999999999999E-2"/>
    <n v="290085.46875"/>
    <n v="11377602.03125"/>
    <x v="0"/>
  </r>
  <r>
    <n v="5"/>
    <x v="2"/>
    <s v="Espagne"/>
    <n v="105000"/>
    <n v="17.5"/>
    <n v="175"/>
    <n v="192.5"/>
    <n v="20212500"/>
    <n v="1725000"/>
    <n v="1.2500000000000001E-2"/>
    <n v="252656.25"/>
    <n v="18234843.75"/>
    <x v="0"/>
  </r>
  <r>
    <n v="5"/>
    <x v="2"/>
    <s v="Espagne"/>
    <n v="105000"/>
    <n v="17.5"/>
    <n v="175"/>
    <n v="192.5"/>
    <n v="20212500"/>
    <n v="1725000"/>
    <n v="1.2500000000000001E-2"/>
    <n v="252656.25"/>
    <n v="18234843.75"/>
    <x v="0"/>
  </r>
  <r>
    <n v="20"/>
    <x v="2"/>
    <s v="Portugal"/>
    <n v="64600"/>
    <n v="17.5"/>
    <n v="140"/>
    <n v="157.5"/>
    <n v="10174500"/>
    <n v="1150000"/>
    <n v="1.7500000000000002E-2"/>
    <n v="178053.75"/>
    <n v="8846446.25"/>
    <x v="0"/>
  </r>
  <r>
    <n v="12"/>
    <x v="3"/>
    <s v="Maroc"/>
    <n v="115000"/>
    <n v="15"/>
    <n v="135"/>
    <n v="150"/>
    <n v="17250000"/>
    <n v="2000000"/>
    <n v="1.4999999999999999E-2"/>
    <n v="258750"/>
    <n v="14991250"/>
    <x v="0"/>
  </r>
  <r>
    <n v="12"/>
    <x v="3"/>
    <s v="Maroc"/>
    <n v="115000"/>
    <n v="15"/>
    <n v="135"/>
    <n v="150"/>
    <n v="17250000"/>
    <n v="2000000"/>
    <n v="1.4999999999999999E-2"/>
    <n v="258750"/>
    <n v="14991250"/>
    <x v="0"/>
  </r>
  <r>
    <n v="16"/>
    <x v="3"/>
    <s v="Maroc"/>
    <n v="63050"/>
    <n v="15"/>
    <n v="135"/>
    <n v="150"/>
    <n v="9457500"/>
    <n v="1150000"/>
    <n v="1.4999999999999999E-2"/>
    <n v="141862.5"/>
    <n v="8165637.5"/>
    <x v="0"/>
  </r>
  <r>
    <n v="16"/>
    <x v="3"/>
    <s v="Maroc"/>
    <n v="63050"/>
    <n v="15"/>
    <n v="135"/>
    <n v="150"/>
    <n v="9457500"/>
    <n v="1150000"/>
    <n v="1.4999999999999999E-2"/>
    <n v="141862.5"/>
    <n v="8165637.5"/>
    <x v="0"/>
  </r>
  <r>
    <n v="17"/>
    <x v="3"/>
    <s v="Maroc"/>
    <n v="59800"/>
    <n v="15"/>
    <n v="135"/>
    <n v="150"/>
    <n v="8970000"/>
    <n v="800000"/>
    <n v="1.2500000000000001E-2"/>
    <n v="112125"/>
    <n v="8057875"/>
    <x v="0"/>
  </r>
  <r>
    <n v="17"/>
    <x v="3"/>
    <s v="Maroc"/>
    <n v="59800"/>
    <n v="15"/>
    <n v="135"/>
    <n v="150"/>
    <n v="8970000"/>
    <n v="800000"/>
    <n v="1.2500000000000001E-2"/>
    <n v="112125"/>
    <n v="8057875"/>
    <x v="0"/>
  </r>
  <r>
    <n v="1"/>
    <x v="4"/>
    <s v="Espagne"/>
    <n v="85000"/>
    <n v="12.5"/>
    <n v="175"/>
    <n v="187.5"/>
    <n v="15937500"/>
    <n v="1400000"/>
    <n v="1.2500000000000001E-2"/>
    <n v="199218.75"/>
    <n v="14338281.25"/>
    <x v="0"/>
  </r>
  <r>
    <n v="2"/>
    <x v="4"/>
    <s v="Espagne"/>
    <n v="66975"/>
    <n v="12.5"/>
    <n v="175"/>
    <n v="187.5"/>
    <n v="12557812.5"/>
    <n v="1225000"/>
    <n v="2.2499999999999999E-2"/>
    <n v="282550.78125"/>
    <n v="11050261.71875"/>
    <x v="0"/>
  </r>
  <r>
    <n v="5"/>
    <x v="4"/>
    <s v="Espagne"/>
    <n v="105000"/>
    <n v="12.5"/>
    <n v="175"/>
    <n v="187.5"/>
    <n v="19687500"/>
    <n v="1725000"/>
    <n v="1.2500000000000001E-2"/>
    <n v="246093.75"/>
    <n v="17716406.25"/>
    <x v="0"/>
  </r>
  <r>
    <n v="9"/>
    <x v="4"/>
    <s v="Espagne"/>
    <n v="55872"/>
    <n v="12.5"/>
    <n v="175"/>
    <n v="187.5"/>
    <n v="10476000"/>
    <n v="1000000"/>
    <n v="2.2499999999999999E-2"/>
    <n v="235710"/>
    <n v="9240290"/>
    <x v="0"/>
  </r>
  <r>
    <n v="20"/>
    <x v="4"/>
    <s v="Portugal"/>
    <n v="64600"/>
    <n v="12.5"/>
    <n v="140"/>
    <n v="152.5"/>
    <n v="9851500"/>
    <n v="1150000"/>
    <n v="1.7500000000000002E-2"/>
    <n v="172401.25"/>
    <n v="8529098.75"/>
    <x v="0"/>
  </r>
  <r>
    <n v="20"/>
    <x v="4"/>
    <s v="Portugal"/>
    <n v="64600"/>
    <n v="12.5"/>
    <n v="140"/>
    <n v="152.5"/>
    <n v="9851500"/>
    <n v="1150000"/>
    <n v="1.7500000000000002E-2"/>
    <n v="172401.25"/>
    <n v="8529098.75"/>
    <x v="0"/>
  </r>
  <r>
    <n v="2"/>
    <x v="5"/>
    <s v="Espagne"/>
    <n v="66975"/>
    <n v="10"/>
    <n v="175"/>
    <n v="185"/>
    <n v="12390375"/>
    <n v="1225000"/>
    <n v="2.2499999999999999E-2"/>
    <n v="278783.4375"/>
    <n v="10886591.5625"/>
    <x v="0"/>
  </r>
  <r>
    <n v="7"/>
    <x v="5"/>
    <s v="Espagne"/>
    <n v="49036"/>
    <n v="10"/>
    <n v="175"/>
    <n v="185"/>
    <n v="9071660"/>
    <n v="925000"/>
    <n v="1.7500000000000002E-2"/>
    <n v="158754.05000000002"/>
    <n v="7987905.9500000002"/>
    <x v="1"/>
  </r>
  <r>
    <n v="9"/>
    <x v="5"/>
    <s v="Espagne"/>
    <n v="55872"/>
    <n v="10"/>
    <n v="175"/>
    <n v="185"/>
    <n v="10336320"/>
    <n v="1000000"/>
    <n v="2.2499999999999999E-2"/>
    <n v="232567.19999999998"/>
    <n v="9103752.8000000007"/>
    <x v="0"/>
  </r>
  <r>
    <n v="9"/>
    <x v="5"/>
    <s v="Espagne"/>
    <n v="55872"/>
    <n v="10"/>
    <n v="175"/>
    <n v="185"/>
    <n v="10336320"/>
    <n v="1000000"/>
    <n v="2.2499999999999999E-2"/>
    <n v="232567.19999999998"/>
    <n v="9103752.8000000007"/>
    <x v="0"/>
  </r>
  <r>
    <n v="20"/>
    <x v="5"/>
    <s v="Portugal"/>
    <n v="64600"/>
    <n v="10"/>
    <n v="140"/>
    <n v="150"/>
    <n v="9690000"/>
    <n v="1150000"/>
    <n v="1.7500000000000002E-2"/>
    <n v="169575.00000000003"/>
    <n v="8370425"/>
    <x v="0"/>
  </r>
  <r>
    <n v="20"/>
    <x v="5"/>
    <s v="Portugal"/>
    <n v="64600"/>
    <n v="10"/>
    <n v="140"/>
    <n v="150"/>
    <n v="9690000"/>
    <n v="1150000"/>
    <n v="1.7500000000000002E-2"/>
    <n v="169575.00000000003"/>
    <n v="8370425"/>
    <x v="0"/>
  </r>
  <r>
    <n v="6"/>
    <x v="6"/>
    <s v="Espagne"/>
    <n v="40608"/>
    <n v="7.5"/>
    <n v="175"/>
    <n v="182.5"/>
    <n v="7410960"/>
    <n v="700000"/>
    <n v="2.2499999999999999E-2"/>
    <n v="166746.6"/>
    <n v="6544213.4000000004"/>
    <x v="1"/>
  </r>
  <r>
    <n v="7"/>
    <x v="6"/>
    <s v="Espagne"/>
    <n v="49036"/>
    <n v="7.5"/>
    <n v="175"/>
    <n v="182.5"/>
    <n v="8949070"/>
    <n v="925000"/>
    <n v="1.7500000000000002E-2"/>
    <n v="156608.72500000001"/>
    <n v="7867461.2750000004"/>
    <x v="1"/>
  </r>
  <r>
    <n v="7"/>
    <x v="6"/>
    <s v="Espagne"/>
    <n v="49036"/>
    <n v="7.5"/>
    <n v="175"/>
    <n v="182.5"/>
    <n v="8949070"/>
    <n v="925000"/>
    <n v="1.7500000000000002E-2"/>
    <n v="156608.72500000001"/>
    <n v="7867461.2750000004"/>
    <x v="1"/>
  </r>
  <r>
    <n v="9"/>
    <x v="6"/>
    <s v="Espagne"/>
    <n v="55872"/>
    <n v="7.5"/>
    <n v="175"/>
    <n v="182.5"/>
    <n v="10196640"/>
    <n v="1000000"/>
    <n v="2.2499999999999999E-2"/>
    <n v="229424.40000000002"/>
    <n v="8967215.5999999996"/>
    <x v="0"/>
  </r>
  <r>
    <n v="9"/>
    <x v="6"/>
    <s v="Espagne"/>
    <n v="55872"/>
    <n v="7.5"/>
    <n v="175"/>
    <n v="182.5"/>
    <n v="10196640"/>
    <n v="1000000"/>
    <n v="2.2499999999999999E-2"/>
    <n v="229424.40000000002"/>
    <n v="8967215.5999999996"/>
    <x v="0"/>
  </r>
  <r>
    <n v="19"/>
    <x v="6"/>
    <s v="Portugal"/>
    <n v="47595"/>
    <n v="7.5"/>
    <n v="140"/>
    <n v="147.5"/>
    <n v="7020262.5"/>
    <n v="900000"/>
    <n v="1.7500000000000002E-2"/>
    <n v="122854.59375000001"/>
    <n v="5997407.90625"/>
    <x v="1"/>
  </r>
  <r>
    <n v="4"/>
    <x v="7"/>
    <s v="Espagne"/>
    <n v="37260"/>
    <n v="5"/>
    <n v="175"/>
    <n v="180"/>
    <n v="6706800"/>
    <n v="700000"/>
    <n v="0.02"/>
    <n v="134136"/>
    <n v="5872664"/>
    <x v="1"/>
  </r>
  <r>
    <n v="6"/>
    <x v="7"/>
    <s v="Espagne"/>
    <n v="40608"/>
    <n v="5"/>
    <n v="175"/>
    <n v="180"/>
    <n v="7309440"/>
    <n v="700000"/>
    <n v="2.2499999999999999E-2"/>
    <n v="164462.39999999999"/>
    <n v="6444977.5999999996"/>
    <x v="1"/>
  </r>
  <r>
    <n v="6"/>
    <x v="7"/>
    <s v="Espagne"/>
    <n v="40608"/>
    <n v="5"/>
    <n v="175"/>
    <n v="180"/>
    <n v="7309440"/>
    <n v="700000"/>
    <n v="2.2499999999999999E-2"/>
    <n v="164462.39999999999"/>
    <n v="6444977.5999999996"/>
    <x v="1"/>
  </r>
  <r>
    <n v="7"/>
    <x v="7"/>
    <s v="Espagne"/>
    <n v="49036"/>
    <n v="5"/>
    <n v="175"/>
    <n v="180"/>
    <n v="8826480"/>
    <n v="925000"/>
    <n v="1.7500000000000002E-2"/>
    <n v="154463.40000000002"/>
    <n v="7747016.5999999996"/>
    <x v="1"/>
  </r>
  <r>
    <n v="7"/>
    <x v="7"/>
    <s v="Espagne"/>
    <n v="49036"/>
    <n v="5"/>
    <n v="175"/>
    <n v="180"/>
    <n v="8826480"/>
    <n v="925000"/>
    <n v="1.7500000000000002E-2"/>
    <n v="154463.40000000002"/>
    <n v="7747016.5999999996"/>
    <x v="1"/>
  </r>
  <r>
    <n v="18"/>
    <x v="7"/>
    <s v="Portugal"/>
    <n v="47000"/>
    <n v="5"/>
    <n v="140"/>
    <n v="145"/>
    <n v="6815000"/>
    <n v="900000"/>
    <n v="1.7500000000000002E-2"/>
    <n v="119262.5"/>
    <n v="5795737.5"/>
    <x v="1"/>
  </r>
  <r>
    <n v="3"/>
    <x v="8"/>
    <s v="Espagne"/>
    <n v="30576"/>
    <n v="2.5"/>
    <n v="175"/>
    <n v="177.5"/>
    <n v="5427240"/>
    <n v="600000"/>
    <n v="2.2499999999999999E-2"/>
    <n v="122112.9"/>
    <n v="4705127.0999999996"/>
    <x v="1"/>
  </r>
  <r>
    <n v="6"/>
    <x v="8"/>
    <s v="Espagne"/>
    <n v="40608"/>
    <n v="2.5"/>
    <n v="175"/>
    <n v="177.5"/>
    <n v="7207920"/>
    <n v="700000"/>
    <n v="2.2499999999999999E-2"/>
    <n v="162178.19999999998"/>
    <n v="6345741.7999999998"/>
    <x v="1"/>
  </r>
  <r>
    <n v="6"/>
    <x v="8"/>
    <s v="Espagne"/>
    <n v="40608"/>
    <n v="2.5"/>
    <n v="175"/>
    <n v="177.5"/>
    <n v="7207920"/>
    <n v="700000"/>
    <n v="2.2499999999999999E-2"/>
    <n v="162178.19999999998"/>
    <n v="6345741.7999999998"/>
    <x v="1"/>
  </r>
  <r>
    <n v="8"/>
    <x v="8"/>
    <s v="Espagne"/>
    <n v="32870"/>
    <n v="2.5"/>
    <n v="175"/>
    <n v="177.5"/>
    <n v="5834425"/>
    <n v="600000"/>
    <n v="1.4999999999999999E-2"/>
    <n v="87516.375"/>
    <n v="5146908.625"/>
    <x v="1"/>
  </r>
  <r>
    <n v="10"/>
    <x v="8"/>
    <s v="Espagne"/>
    <n v="26100"/>
    <n v="2.5"/>
    <n v="175"/>
    <n v="177.5"/>
    <n v="4632750"/>
    <n v="500000"/>
    <n v="1.7500000000000002E-2"/>
    <n v="81073.125"/>
    <n v="4051676.875"/>
    <x v="1"/>
  </r>
  <r>
    <n v="11"/>
    <x v="8"/>
    <s v="Espagne"/>
    <n v="28796"/>
    <n v="2.5"/>
    <n v="175"/>
    <n v="177.5"/>
    <n v="5111290"/>
    <n v="550000"/>
    <n v="0.02"/>
    <n v="102225.8"/>
    <n v="4459064.2"/>
    <x v="1"/>
  </r>
  <r>
    <n v="12"/>
    <x v="9"/>
    <s v="Maroc"/>
    <n v="115000"/>
    <n v="0"/>
    <n v="135"/>
    <n v="135"/>
    <n v="15525000"/>
    <n v="2000000"/>
    <n v="1.4999999999999999E-2"/>
    <n v="232875"/>
    <n v="13292125"/>
    <x v="0"/>
  </r>
  <r>
    <n v="13"/>
    <x v="9"/>
    <s v="Maroc"/>
    <n v="44135"/>
    <n v="0"/>
    <n v="135"/>
    <n v="135"/>
    <n v="5958225"/>
    <n v="800000"/>
    <n v="1.4999999999999999E-2"/>
    <n v="89373.375"/>
    <n v="5068851.625"/>
    <x v="1"/>
  </r>
  <r>
    <n v="14"/>
    <x v="9"/>
    <s v="Maroc"/>
    <n v="44296"/>
    <n v="0"/>
    <n v="135"/>
    <n v="135"/>
    <n v="5979960"/>
    <n v="800000"/>
    <n v="0.02"/>
    <n v="119599.20000000001"/>
    <n v="5060360.8"/>
    <x v="1"/>
  </r>
  <r>
    <n v="15"/>
    <x v="9"/>
    <s v="Maroc"/>
    <n v="41850"/>
    <n v="0"/>
    <n v="135"/>
    <n v="135"/>
    <n v="5649750"/>
    <n v="800000"/>
    <n v="0.02"/>
    <n v="112995.00000000001"/>
    <n v="4736755"/>
    <x v="1"/>
  </r>
  <r>
    <n v="16"/>
    <x v="9"/>
    <s v="Maroc"/>
    <n v="63050"/>
    <n v="0"/>
    <n v="135"/>
    <n v="135"/>
    <n v="8511750"/>
    <n v="1150000"/>
    <n v="1.4999999999999999E-2"/>
    <n v="127676.25"/>
    <n v="7234073.75"/>
    <x v="0"/>
  </r>
  <r>
    <n v="17"/>
    <x v="9"/>
    <s v="Maroc"/>
    <n v="59800"/>
    <n v="0"/>
    <n v="135"/>
    <n v="135"/>
    <n v="8073000"/>
    <n v="800000"/>
    <n v="1.2500000000000001E-2"/>
    <n v="100912.5"/>
    <n v="7172087.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1F4D19-F373-4A21-8823-FF49D8F1589E}" name="Tableau croisé dynamique8"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Groupes " colHeaderCaption="Pays">
  <location ref="M80:O92" firstHeaderRow="1" firstDataRow="2" firstDataCol="1"/>
  <pivotFields count="12">
    <pivotField axis="axisRow" showAll="0">
      <items count="21">
        <item x="3"/>
        <item x="4"/>
        <item x="13"/>
        <item x="11"/>
        <item x="5"/>
        <item x="9"/>
        <item x="8"/>
        <item x="14"/>
        <item x="7"/>
        <item x="15"/>
        <item x="16"/>
        <item x="0"/>
        <item x="17"/>
        <item x="18"/>
        <item x="19"/>
        <item x="1"/>
        <item x="2"/>
        <item x="12"/>
        <item x="10"/>
        <item x="6"/>
        <item t="default"/>
      </items>
    </pivotField>
    <pivotField axis="axisRow" dataField="1" showAll="0">
      <items count="11">
        <item h="1" x="0"/>
        <item n="B (Max)" x="1"/>
        <item h="1" x="2"/>
        <item h="1" x="3"/>
        <item h="1" x="4"/>
        <item h="1" x="5"/>
        <item h="1" x="6"/>
        <item h="1" x="7"/>
        <item n="I (Min)" x="8"/>
        <item h="1" x="9"/>
        <item t="default"/>
      </items>
    </pivotField>
    <pivotField axis="axisCol" showAll="0">
      <items count="4">
        <item x="1"/>
        <item x="0"/>
        <item x="2"/>
        <item t="default"/>
      </items>
    </pivotField>
    <pivotField showAll="0"/>
    <pivotField showAll="0"/>
    <pivotField showAll="0"/>
    <pivotField numFmtId="167" showAll="0"/>
    <pivotField numFmtId="167" showAll="0"/>
    <pivotField showAll="0"/>
    <pivotField numFmtId="10" showAll="0"/>
    <pivotField numFmtId="167" showAll="0"/>
    <pivotField numFmtId="167" showAll="0"/>
  </pivotFields>
  <rowFields count="2">
    <field x="1"/>
    <field x="0"/>
  </rowFields>
  <rowItems count="11">
    <i>
      <x v="1"/>
    </i>
    <i r="1">
      <x/>
    </i>
    <i r="1">
      <x v="1"/>
    </i>
    <i r="1">
      <x v="4"/>
    </i>
    <i>
      <x v="8"/>
    </i>
    <i r="1">
      <x v="2"/>
    </i>
    <i r="1">
      <x v="5"/>
    </i>
    <i r="1">
      <x v="7"/>
    </i>
    <i r="1">
      <x v="9"/>
    </i>
    <i r="1">
      <x v="10"/>
    </i>
    <i t="grand">
      <x/>
    </i>
  </rowItems>
  <colFields count="1">
    <field x="2"/>
  </colFields>
  <colItems count="2">
    <i>
      <x/>
    </i>
    <i t="grand">
      <x/>
    </i>
  </colItems>
  <dataFields count="1">
    <dataField name="Répartition des matchs " fld="1" subtotal="count" baseField="0" baseItem="0" numFmtId="1"/>
  </dataFields>
  <formats count="19">
    <format dxfId="121">
      <pivotArea collapsedLevelsAreSubtotals="1" fieldPosition="0">
        <references count="1">
          <reference field="1" count="1">
            <x v="1"/>
          </reference>
        </references>
      </pivotArea>
    </format>
    <format dxfId="120">
      <pivotArea dataOnly="0" labelOnly="1" fieldPosition="0">
        <references count="1">
          <reference field="1" count="1">
            <x v="1"/>
          </reference>
        </references>
      </pivotArea>
    </format>
    <format dxfId="119">
      <pivotArea collapsedLevelsAreSubtotals="1" fieldPosition="0">
        <references count="1">
          <reference field="1" count="1">
            <x v="8"/>
          </reference>
        </references>
      </pivotArea>
    </format>
    <format dxfId="118">
      <pivotArea dataOnly="0" labelOnly="1" fieldPosition="0">
        <references count="1">
          <reference field="1" count="1">
            <x v="8"/>
          </reference>
        </references>
      </pivotArea>
    </format>
    <format dxfId="117">
      <pivotArea type="all" dataOnly="0" outline="0" fieldPosition="0"/>
    </format>
    <format dxfId="116">
      <pivotArea grandRow="1" outline="0" collapsedLevelsAreSubtotals="1" fieldPosition="0"/>
    </format>
    <format dxfId="115">
      <pivotArea dataOnly="0" labelOnly="1" grandRow="1" outline="0" fieldPosition="0"/>
    </format>
    <format dxfId="114">
      <pivotArea type="origin" dataOnly="0" labelOnly="1" outline="0" fieldPosition="0"/>
    </format>
    <format dxfId="113">
      <pivotArea field="2" type="button" dataOnly="0" labelOnly="1" outline="0" axis="axisCol" fieldPosition="0"/>
    </format>
    <format dxfId="112">
      <pivotArea type="topRight" dataOnly="0" labelOnly="1" outline="0" fieldPosition="0"/>
    </format>
    <format dxfId="111">
      <pivotArea field="1" type="button" dataOnly="0" labelOnly="1" outline="0" axis="axisRow" fieldPosition="0"/>
    </format>
    <format dxfId="110">
      <pivotArea dataOnly="0" labelOnly="1" fieldPosition="0">
        <references count="1">
          <reference field="2" count="1">
            <x v="0"/>
          </reference>
        </references>
      </pivotArea>
    </format>
    <format dxfId="109">
      <pivotArea dataOnly="0" labelOnly="1" grandCol="1" outline="0" fieldPosition="0"/>
    </format>
    <format dxfId="108">
      <pivotArea collapsedLevelsAreSubtotals="1" fieldPosition="0">
        <references count="1">
          <reference field="1" count="1">
            <x v="1"/>
          </reference>
        </references>
      </pivotArea>
    </format>
    <format dxfId="107">
      <pivotArea dataOnly="0" labelOnly="1" fieldPosition="0">
        <references count="1">
          <reference field="1" count="1">
            <x v="1"/>
          </reference>
        </references>
      </pivotArea>
    </format>
    <format dxfId="106">
      <pivotArea collapsedLevelsAreSubtotals="1" fieldPosition="0">
        <references count="1">
          <reference field="1" count="1">
            <x v="8"/>
          </reference>
        </references>
      </pivotArea>
    </format>
    <format dxfId="105">
      <pivotArea dataOnly="0" labelOnly="1" fieldPosition="0">
        <references count="1">
          <reference field="1" count="1">
            <x v="8"/>
          </reference>
        </references>
      </pivotArea>
    </format>
    <format dxfId="104">
      <pivotArea field="0" dataOnly="0" grandRow="1" axis="axisRow" fieldPosition="1">
        <references count="1">
          <reference field="0" count="0" defaultSubtotal="1" sumSubtotal="1" countASubtotal="1" avgSubtotal="1" maxSubtotal="1" minSubtotal="1" productSubtotal="1" countSubtotal="1" stdDevSubtotal="1" stdDevPSubtotal="1" varSubtotal="1" varPSubtotal="1"/>
        </references>
      </pivotArea>
    </format>
    <format dxfId="103">
      <pivotArea outline="0" collapsedLevelsAreSubtotals="1"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63DC72-07D4-4818-9885-18B46DCCE6E0}" name="Tableau croisé dynamique3"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 colHeaderCaption="Pays">
  <location ref="B80:E92" firstHeaderRow="1" firstDataRow="2" firstDataCol="1"/>
  <pivotFields count="10">
    <pivotField axis="axisRow" showAll="0">
      <items count="21">
        <item x="0"/>
        <item x="3"/>
        <item x="16"/>
        <item x="12"/>
        <item x="1"/>
        <item x="13"/>
        <item x="8"/>
        <item x="17"/>
        <item x="6"/>
        <item x="18"/>
        <item x="19"/>
        <item x="2"/>
        <item x="14"/>
        <item x="9"/>
        <item x="15"/>
        <item x="5"/>
        <item x="7"/>
        <item x="10"/>
        <item x="11"/>
        <item x="4"/>
        <item t="default"/>
      </items>
    </pivotField>
    <pivotField axis="axisRow" dataField="1" showAll="0">
      <items count="11">
        <item n="A (Max)" x="0"/>
        <item h="1" x="1"/>
        <item h="1" x="2"/>
        <item h="1" x="3"/>
        <item h="1" x="4"/>
        <item h="1" x="5"/>
        <item h="1" x="6"/>
        <item h="1" x="7"/>
        <item h="1" x="8"/>
        <item n="J (Min)" x="9"/>
        <item t="default"/>
      </items>
    </pivotField>
    <pivotField axis="axisCol" showAll="0">
      <items count="4">
        <item x="0"/>
        <item x="1"/>
        <item x="2"/>
        <item t="default"/>
      </items>
    </pivotField>
    <pivotField showAll="0"/>
    <pivotField showAll="0"/>
    <pivotField showAll="0"/>
    <pivotField numFmtId="167" showAll="0">
      <items count="20">
        <item x="17"/>
        <item x="15"/>
        <item x="13"/>
        <item x="11"/>
        <item x="9"/>
        <item x="7"/>
        <item x="5"/>
        <item x="3"/>
        <item x="1"/>
        <item x="18"/>
        <item x="16"/>
        <item x="14"/>
        <item x="12"/>
        <item x="10"/>
        <item x="8"/>
        <item x="6"/>
        <item x="4"/>
        <item x="2"/>
        <item x="0"/>
        <item t="default"/>
      </items>
    </pivotField>
    <pivotField numFmtId="167" showAll="0"/>
    <pivotField numFmtId="44" showAll="0"/>
    <pivotField numFmtId="167" showAll="0"/>
  </pivotFields>
  <rowFields count="2">
    <field x="1"/>
    <field x="0"/>
  </rowFields>
  <rowItems count="11">
    <i>
      <x/>
    </i>
    <i r="1">
      <x/>
    </i>
    <i r="1">
      <x v="4"/>
    </i>
    <i r="1">
      <x v="11"/>
    </i>
    <i>
      <x v="9"/>
    </i>
    <i r="1">
      <x v="2"/>
    </i>
    <i r="1">
      <x v="5"/>
    </i>
    <i r="1">
      <x v="7"/>
    </i>
    <i r="1">
      <x v="9"/>
    </i>
    <i r="1">
      <x v="10"/>
    </i>
    <i t="grand">
      <x/>
    </i>
  </rowItems>
  <colFields count="1">
    <field x="2"/>
  </colFields>
  <colItems count="3">
    <i>
      <x/>
    </i>
    <i>
      <x v="1"/>
    </i>
    <i t="grand">
      <x/>
    </i>
  </colItems>
  <dataFields count="1">
    <dataField name="Répartition des matchs" fld="1" subtotal="count" baseField="0" baseItem="0" numFmtId="1"/>
  </dataFields>
  <formats count="14">
    <format dxfId="135">
      <pivotArea collapsedLevelsAreSubtotals="1" fieldPosition="0">
        <references count="1">
          <reference field="1" count="1">
            <x v="0"/>
          </reference>
        </references>
      </pivotArea>
    </format>
    <format dxfId="134">
      <pivotArea collapsedLevelsAreSubtotals="1" fieldPosition="0">
        <references count="2">
          <reference field="0" count="3">
            <x v="0"/>
            <x v="4"/>
            <x v="11"/>
          </reference>
          <reference field="1" count="1" selected="0">
            <x v="0"/>
          </reference>
        </references>
      </pivotArea>
    </format>
    <format dxfId="133">
      <pivotArea collapsedLevelsAreSubtotals="1" fieldPosition="0">
        <references count="1">
          <reference field="1" count="1">
            <x v="9"/>
          </reference>
        </references>
      </pivotArea>
    </format>
    <format dxfId="132">
      <pivotArea collapsedLevelsAreSubtotals="1" fieldPosition="0">
        <references count="2">
          <reference field="0" count="5">
            <x v="2"/>
            <x v="5"/>
            <x v="7"/>
            <x v="9"/>
            <x v="10"/>
          </reference>
          <reference field="1" count="1" selected="0">
            <x v="9"/>
          </reference>
        </references>
      </pivotArea>
    </format>
    <format dxfId="131">
      <pivotArea dataOnly="0" labelOnly="1" fieldPosition="0">
        <references count="1">
          <reference field="1" count="0"/>
        </references>
      </pivotArea>
    </format>
    <format dxfId="130">
      <pivotArea dataOnly="0" labelOnly="1" fieldPosition="0">
        <references count="2">
          <reference field="0" count="3">
            <x v="0"/>
            <x v="4"/>
            <x v="11"/>
          </reference>
          <reference field="1" count="1" selected="0">
            <x v="0"/>
          </reference>
        </references>
      </pivotArea>
    </format>
    <format dxfId="129">
      <pivotArea dataOnly="0" labelOnly="1" fieldPosition="0">
        <references count="2">
          <reference field="0" count="5">
            <x v="2"/>
            <x v="5"/>
            <x v="7"/>
            <x v="9"/>
            <x v="10"/>
          </reference>
          <reference field="1" count="1" selected="0">
            <x v="9"/>
          </reference>
        </references>
      </pivotArea>
    </format>
    <format dxfId="128">
      <pivotArea collapsedLevelsAreSubtotals="1" fieldPosition="0">
        <references count="1">
          <reference field="1" count="1">
            <x v="0"/>
          </reference>
        </references>
      </pivotArea>
    </format>
    <format dxfId="127">
      <pivotArea dataOnly="0" labelOnly="1" fieldPosition="0">
        <references count="1">
          <reference field="1" count="1">
            <x v="0"/>
          </reference>
        </references>
      </pivotArea>
    </format>
    <format dxfId="126">
      <pivotArea collapsedLevelsAreSubtotals="1" fieldPosition="0">
        <references count="1">
          <reference field="1" count="1">
            <x v="9"/>
          </reference>
        </references>
      </pivotArea>
    </format>
    <format dxfId="125">
      <pivotArea dataOnly="0" labelOnly="1" fieldPosition="0">
        <references count="1">
          <reference field="1" count="1">
            <x v="9"/>
          </reference>
        </references>
      </pivotArea>
    </format>
    <format dxfId="124">
      <pivotArea grandRow="1" outline="0" collapsedLevelsAreSubtotals="1" fieldPosition="0"/>
    </format>
    <format dxfId="123">
      <pivotArea dataOnly="0" labelOnly="1" grandRow="1" outline="0" fieldPosition="0"/>
    </format>
    <format dxfId="1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F5E77A-1C26-4D57-89FB-2B74BE485014}" name="Tableau croisé dynamique5" cacheId="2" applyNumberFormats="0" applyBorderFormats="0" applyFontFormats="0" applyPatternFormats="0" applyAlignmentFormats="0" applyWidthHeightFormats="1" dataCaption="Valeurs" grandTotalCaption="Total" updatedVersion="8" minRefreshableVersion="3" useAutoFormatting="1" itemPrintTitles="1" createdVersion="8" indent="0" outline="1" outlineData="1" multipleFieldFilters="0" rowHeaderCaption="Catégories" colHeaderCaption="Groupes">
  <location ref="N3:Y7" firstHeaderRow="1" firstDataRow="2" firstDataCol="1"/>
  <pivotFields count="11">
    <pivotField showAll="0">
      <items count="21">
        <item x="0"/>
        <item x="3"/>
        <item x="16"/>
        <item x="12"/>
        <item x="1"/>
        <item x="13"/>
        <item x="8"/>
        <item x="17"/>
        <item x="6"/>
        <item x="18"/>
        <item x="19"/>
        <item x="2"/>
        <item x="14"/>
        <item x="9"/>
        <item x="15"/>
        <item x="5"/>
        <item x="7"/>
        <item x="10"/>
        <item x="11"/>
        <item x="4"/>
        <item t="default"/>
      </items>
    </pivotField>
    <pivotField axis="axisCol" showAll="0">
      <items count="11">
        <item x="0"/>
        <item x="1"/>
        <item x="2"/>
        <item x="3"/>
        <item x="4"/>
        <item x="5"/>
        <item x="6"/>
        <item x="7"/>
        <item x="8"/>
        <item x="9"/>
        <item t="default"/>
      </items>
    </pivotField>
    <pivotField showAll="0">
      <items count="4">
        <item x="0"/>
        <item x="1"/>
        <item x="2"/>
        <item t="default"/>
      </items>
    </pivotField>
    <pivotField showAll="0"/>
    <pivotField showAll="0"/>
    <pivotField showAll="0"/>
    <pivotField numFmtId="167" showAll="0"/>
    <pivotField numFmtId="167" showAll="0"/>
    <pivotField numFmtId="44" showAll="0"/>
    <pivotField numFmtId="167" showAll="0"/>
    <pivotField axis="axisRow" dataField="1" showAll="0">
      <items count="3">
        <item n="Sous-capacité" x="1"/>
        <item n="Grande capacité" x="0"/>
        <item t="default"/>
      </items>
    </pivotField>
  </pivotFields>
  <rowFields count="1">
    <field x="10"/>
  </rowFields>
  <rowItems count="3">
    <i>
      <x/>
    </i>
    <i>
      <x v="1"/>
    </i>
    <i t="grand">
      <x/>
    </i>
  </rowItems>
  <colFields count="1">
    <field x="1"/>
  </colFields>
  <colItems count="11">
    <i>
      <x/>
    </i>
    <i>
      <x v="1"/>
    </i>
    <i>
      <x v="2"/>
    </i>
    <i>
      <x v="3"/>
    </i>
    <i>
      <x v="4"/>
    </i>
    <i>
      <x v="5"/>
    </i>
    <i>
      <x v="6"/>
    </i>
    <i>
      <x v="7"/>
    </i>
    <i>
      <x v="8"/>
    </i>
    <i>
      <x v="9"/>
    </i>
    <i t="grand">
      <x/>
    </i>
  </colItems>
  <dataFields count="1">
    <dataField name="Option 1" fld="10" subtotal="count" baseField="10" baseItem="0"/>
  </dataFields>
  <formats count="16">
    <format dxfId="36">
      <pivotArea dataOnly="0" labelOnly="1" grandCol="1" outline="0" fieldPosition="0"/>
    </format>
    <format dxfId="35">
      <pivotArea dataOnly="0" labelOnly="1" fieldPosition="0">
        <references count="1">
          <reference field="1" count="0"/>
        </references>
      </pivotArea>
    </format>
    <format dxfId="34">
      <pivotArea type="all" dataOnly="0" outline="0" fieldPosition="0"/>
    </format>
    <format dxfId="33">
      <pivotArea outline="0" collapsedLevelsAreSubtotals="1" fieldPosition="0"/>
    </format>
    <format dxfId="32">
      <pivotArea type="origin" dataOnly="0" labelOnly="1" outline="0" fieldPosition="0"/>
    </format>
    <format dxfId="31">
      <pivotArea field="10" type="button" dataOnly="0" labelOnly="1" outline="0" axis="axisRow" fieldPosition="0"/>
    </format>
    <format dxfId="30">
      <pivotArea dataOnly="0" labelOnly="1" fieldPosition="0">
        <references count="1">
          <reference field="10" count="0"/>
        </references>
      </pivotArea>
    </format>
    <format dxfId="29">
      <pivotArea dataOnly="0" labelOnly="1" grandRow="1" outline="0" fieldPosition="0"/>
    </format>
    <format dxfId="28">
      <pivotArea dataOnly="0" labelOnly="1" fieldPosition="0">
        <references count="1">
          <reference field="1" count="0"/>
        </references>
      </pivotArea>
    </format>
    <format dxfId="27">
      <pivotArea dataOnly="0" labelOnly="1" grandCol="1" outline="0" fieldPosition="0"/>
    </format>
    <format dxfId="26">
      <pivotArea field="1" type="button" dataOnly="0" labelOnly="1" outline="0" axis="axisCol" fieldPosition="0"/>
    </format>
    <format dxfId="25">
      <pivotArea type="topRight" dataOnly="0" labelOnly="1" outline="0" fieldPosition="0"/>
    </format>
    <format dxfId="24">
      <pivotArea type="origin" dataOnly="0" labelOnly="1" outline="0" fieldPosition="0"/>
    </format>
    <format dxfId="23">
      <pivotArea type="origin" dataOnly="0" labelOnly="1" outline="0" fieldPosition="0"/>
    </format>
    <format dxfId="22">
      <pivotArea field="1" type="button" dataOnly="0" labelOnly="1" outline="0" axis="axisCol" fieldPosition="0"/>
    </format>
    <format dxfId="21">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0CD254-0402-4C40-96C9-C64B09383D5C}" name="Tableau croisé dynamique4"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Pays" colHeaderCaption="Groupes">
  <location ref="A11:L16" firstHeaderRow="1" firstDataRow="2" firstDataCol="1"/>
  <pivotFields count="12">
    <pivotField showAll="0"/>
    <pivotField axis="axisCol" dataField="1" showAll="0">
      <items count="11">
        <item x="0"/>
        <item x="1"/>
        <item x="2"/>
        <item x="3"/>
        <item x="4"/>
        <item x="5"/>
        <item x="6"/>
        <item x="7"/>
        <item x="8"/>
        <item x="9"/>
        <item t="default"/>
      </items>
    </pivotField>
    <pivotField axis="axisRow" showAll="0">
      <items count="4">
        <item x="1"/>
        <item x="0"/>
        <item x="2"/>
        <item t="default"/>
      </items>
    </pivotField>
    <pivotField showAll="0"/>
    <pivotField showAll="0"/>
    <pivotField showAll="0"/>
    <pivotField numFmtId="167" showAll="0"/>
    <pivotField numFmtId="167" showAll="0"/>
    <pivotField showAll="0"/>
    <pivotField numFmtId="10" showAll="0"/>
    <pivotField numFmtId="167" showAll="0"/>
    <pivotField numFmtId="167" showAll="0"/>
  </pivotFields>
  <rowFields count="1">
    <field x="2"/>
  </rowFields>
  <rowItems count="4">
    <i>
      <x/>
    </i>
    <i>
      <x v="1"/>
    </i>
    <i>
      <x v="2"/>
    </i>
    <i t="grand">
      <x/>
    </i>
  </rowItems>
  <colFields count="1">
    <field x="1"/>
  </colFields>
  <colItems count="11">
    <i>
      <x/>
    </i>
    <i>
      <x v="1"/>
    </i>
    <i>
      <x v="2"/>
    </i>
    <i>
      <x v="3"/>
    </i>
    <i>
      <x v="4"/>
    </i>
    <i>
      <x v="5"/>
    </i>
    <i>
      <x v="6"/>
    </i>
    <i>
      <x v="7"/>
    </i>
    <i>
      <x v="8"/>
    </i>
    <i>
      <x v="9"/>
    </i>
    <i t="grand">
      <x/>
    </i>
  </colItems>
  <dataFields count="1">
    <dataField name="Option 2" fld="1" subtotal="count" showDataAs="percentOfTotal" baseField="2" baseItem="0" numFmtId="10"/>
  </dataFields>
  <formats count="6">
    <format dxfId="42">
      <pivotArea outline="0" collapsedLevelsAreSubtotals="1" fieldPosition="0"/>
    </format>
    <format dxfId="41">
      <pivotArea field="1" type="button" dataOnly="0" labelOnly="1" outline="0" axis="axisCol" fieldPosition="0"/>
    </format>
    <format dxfId="40">
      <pivotArea type="topRight" dataOnly="0" labelOnly="1" outline="0" fieldPosition="0"/>
    </format>
    <format dxfId="39">
      <pivotArea dataOnly="0" labelOnly="1" fieldPosition="0">
        <references count="1">
          <reference field="1" count="0"/>
        </references>
      </pivotArea>
    </format>
    <format dxfId="38">
      <pivotArea dataOnly="0" labelOnly="1" grandCol="1" outline="0" fieldPosition="0"/>
    </format>
    <format dxfId="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627797-4ED5-4EEA-B670-50CBBC1ABE7B}" name="Tableau croisé dynamique1"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hartFormat="7" rowHeaderCaption="Pays" colHeaderCaption="Groupes ">
  <location ref="A3:L8" firstHeaderRow="1" firstDataRow="2" firstDataCol="1"/>
  <pivotFields count="10">
    <pivotField showAll="0"/>
    <pivotField axis="axisCol" dataField="1" showAll="0">
      <items count="11">
        <item x="0"/>
        <item x="1"/>
        <item x="2"/>
        <item x="3"/>
        <item x="4"/>
        <item x="5"/>
        <item x="6"/>
        <item x="7"/>
        <item x="8"/>
        <item x="9"/>
        <item t="default"/>
      </items>
    </pivotField>
    <pivotField axis="axisRow" showAll="0">
      <items count="4">
        <item x="0"/>
        <item x="1"/>
        <item x="2"/>
        <item t="default"/>
      </items>
    </pivotField>
    <pivotField showAll="0"/>
    <pivotField showAll="0"/>
    <pivotField showAll="0"/>
    <pivotField numFmtId="167" showAll="0"/>
    <pivotField numFmtId="167" showAll="0"/>
    <pivotField numFmtId="44" showAll="0"/>
    <pivotField numFmtId="167" showAll="0"/>
  </pivotFields>
  <rowFields count="1">
    <field x="2"/>
  </rowFields>
  <rowItems count="4">
    <i>
      <x/>
    </i>
    <i>
      <x v="1"/>
    </i>
    <i>
      <x v="2"/>
    </i>
    <i t="grand">
      <x/>
    </i>
  </rowItems>
  <colFields count="1">
    <field x="1"/>
  </colFields>
  <colItems count="11">
    <i>
      <x/>
    </i>
    <i>
      <x v="1"/>
    </i>
    <i>
      <x v="2"/>
    </i>
    <i>
      <x v="3"/>
    </i>
    <i>
      <x v="4"/>
    </i>
    <i>
      <x v="5"/>
    </i>
    <i>
      <x v="6"/>
    </i>
    <i>
      <x v="7"/>
    </i>
    <i>
      <x v="8"/>
    </i>
    <i>
      <x v="9"/>
    </i>
    <i t="grand">
      <x/>
    </i>
  </colItems>
  <dataFields count="1">
    <dataField name="Option 1" fld="1" subtotal="count" showDataAs="percentOfTotal" baseField="2" baseItem="0" numFmtId="10"/>
  </dataFields>
  <formats count="2">
    <format dxfId="44">
      <pivotArea outline="0" collapsedLevelsAreSubtotals="1" fieldPosition="0"/>
    </format>
    <format dxfId="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28D1FD4-6E9F-433B-8504-6885B1CF8258}" name="Tableau croisé dynamique7" cacheId="3" applyNumberFormats="0" applyBorderFormats="0" applyFontFormats="0" applyPatternFormats="0" applyAlignmentFormats="0" applyWidthHeightFormats="1" dataCaption="Valeurs" grandTotalCaption="Total " updatedVersion="8" minRefreshableVersion="3" useAutoFormatting="1" itemPrintTitles="1" createdVersion="8" indent="0" outline="1" outlineData="1" multipleFieldFilters="0" rowHeaderCaption="Catégorie" colHeaderCaption="Groupes">
  <location ref="N8:Y12" firstHeaderRow="1" firstDataRow="2" firstDataCol="1"/>
  <pivotFields count="13">
    <pivotField showAll="0"/>
    <pivotField axis="axisCol" showAll="0">
      <items count="11">
        <item x="0"/>
        <item x="1"/>
        <item x="2"/>
        <item x="3"/>
        <item x="4"/>
        <item x="5"/>
        <item x="6"/>
        <item x="7"/>
        <item x="8"/>
        <item x="9"/>
        <item t="default"/>
      </items>
    </pivotField>
    <pivotField showAll="0"/>
    <pivotField showAll="0"/>
    <pivotField showAll="0"/>
    <pivotField showAll="0"/>
    <pivotField numFmtId="167" showAll="0"/>
    <pivotField numFmtId="167" showAll="0"/>
    <pivotField showAll="0"/>
    <pivotField numFmtId="10" showAll="0"/>
    <pivotField numFmtId="167" showAll="0"/>
    <pivotField numFmtId="167" showAll="0"/>
    <pivotField axis="axisRow" dataField="1" showAll="0">
      <items count="3">
        <item n="Sous-capacité" x="1"/>
        <item n="Grande capacité" x="0"/>
        <item t="default"/>
      </items>
    </pivotField>
  </pivotFields>
  <rowFields count="1">
    <field x="12"/>
  </rowFields>
  <rowItems count="3">
    <i>
      <x/>
    </i>
    <i>
      <x v="1"/>
    </i>
    <i t="grand">
      <x/>
    </i>
  </rowItems>
  <colFields count="1">
    <field x="1"/>
  </colFields>
  <colItems count="11">
    <i>
      <x/>
    </i>
    <i>
      <x v="1"/>
    </i>
    <i>
      <x v="2"/>
    </i>
    <i>
      <x v="3"/>
    </i>
    <i>
      <x v="4"/>
    </i>
    <i>
      <x v="5"/>
    </i>
    <i>
      <x v="6"/>
    </i>
    <i>
      <x v="7"/>
    </i>
    <i>
      <x v="8"/>
    </i>
    <i>
      <x v="9"/>
    </i>
    <i t="grand">
      <x/>
    </i>
  </colItems>
  <dataFields count="1">
    <dataField name="Option 2" fld="12" subtotal="count" baseField="12" baseItem="0"/>
  </dataFields>
  <formats count="18">
    <format dxfId="62">
      <pivotArea dataOnly="0" labelOnly="1" fieldPosition="0">
        <references count="1">
          <reference field="1" count="0"/>
        </references>
      </pivotArea>
    </format>
    <format dxfId="61">
      <pivotArea dataOnly="0" labelOnly="1" grandCol="1" outline="0" fieldPosition="0"/>
    </format>
    <format dxfId="60">
      <pivotArea type="all" dataOnly="0" outline="0" fieldPosition="0"/>
    </format>
    <format dxfId="59">
      <pivotArea outline="0" collapsedLevelsAreSubtotals="1" fieldPosition="0"/>
    </format>
    <format dxfId="58">
      <pivotArea type="origin" dataOnly="0" labelOnly="1" outline="0" fieldPosition="0"/>
    </format>
    <format dxfId="57">
      <pivotArea field="1" type="button" dataOnly="0" labelOnly="1" outline="0" axis="axisCol" fieldPosition="0"/>
    </format>
    <format dxfId="56">
      <pivotArea type="topRight" dataOnly="0" labelOnly="1" outline="0" fieldPosition="0"/>
    </format>
    <format dxfId="55">
      <pivotArea field="12" type="button" dataOnly="0" labelOnly="1" outline="0" axis="axisRow" fieldPosition="0"/>
    </format>
    <format dxfId="54">
      <pivotArea dataOnly="0" labelOnly="1" fieldPosition="0">
        <references count="1">
          <reference field="12" count="0"/>
        </references>
      </pivotArea>
    </format>
    <format dxfId="53">
      <pivotArea dataOnly="0" labelOnly="1" grandRow="1" outline="0" fieldPosition="0"/>
    </format>
    <format dxfId="52">
      <pivotArea dataOnly="0" labelOnly="1" fieldPosition="0">
        <references count="1">
          <reference field="1" count="0"/>
        </references>
      </pivotArea>
    </format>
    <format dxfId="51">
      <pivotArea dataOnly="0" labelOnly="1" grandCol="1" outline="0" fieldPosition="0"/>
    </format>
    <format dxfId="50">
      <pivotArea type="origin" dataOnly="0" labelOnly="1" outline="0" fieldPosition="0"/>
    </format>
    <format dxfId="49">
      <pivotArea field="1" type="button" dataOnly="0" labelOnly="1" outline="0" axis="axisCol" fieldPosition="0"/>
    </format>
    <format dxfId="48">
      <pivotArea type="topRight" dataOnly="0" labelOnly="1" outline="0" fieldPosition="0"/>
    </format>
    <format dxfId="47">
      <pivotArea dataOnly="0" labelOnly="1" fieldPosition="0">
        <references count="1">
          <reference field="1" count="0"/>
        </references>
      </pivotArea>
    </format>
    <format dxfId="46">
      <pivotArea dataOnly="0" labelOnly="1" grandCol="1" outline="0" fieldPosition="0"/>
    </format>
    <format dxfId="45">
      <pivotArea field="12" type="button" dataOnly="0" labelOnly="1" outline="0" axis="axisRow"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6144DE1-A997-4DDE-96F3-42666A5D6F71}" name="Tableau1" displayName="Tableau1" ref="B69:E79" headerRowCount="0" totalsRowShown="0" tableBorderDxfId="186">
  <tableColumns count="4">
    <tableColumn id="1" xr3:uid="{67F8734F-5796-4331-B9C3-5542912A26A1}" name="Groupes" headerRowDxfId="185" dataDxfId="184"/>
    <tableColumn id="2" xr3:uid="{AA1C7AB2-35B6-44DE-9361-7A30585BA1BF}" name="Colonne2" headerRowDxfId="183" dataDxfId="182"/>
    <tableColumn id="3" xr3:uid="{4C65764A-D0DA-4FBD-A845-9005A35F5483}" name="%" headerRowDxfId="181" dataDxfId="180"/>
    <tableColumn id="4" xr3:uid="{91A2C811-46BF-47C9-A650-44D0DD79FE75}" name="Proportion" headerRowDxfId="179" dataDxfId="178">
      <calculatedColumnFormula>D69/D$79</calculatedColumnFormula>
    </tableColumn>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2743AED-C3FC-4ACA-8399-08F313329F20}" name="Tableau3" displayName="Tableau3" ref="K67:K78" totalsRowShown="0" headerRowDxfId="177" dataDxfId="176" tableBorderDxfId="175">
  <autoFilter ref="K67:K78" xr:uid="{B2743AED-C3FC-4ACA-8399-08F313329F20}">
    <filterColumn colId="0" hiddenButton="1"/>
  </autoFilter>
  <tableColumns count="1">
    <tableColumn id="1" xr3:uid="{EA31992F-7813-4F32-9F3B-8CDA3C04F068}" name="Proportion" dataDxfId="174">
      <calculatedColumnFormula>J68/J$78</calculatedColumnFormula>
    </tableColumn>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2FCD628-308F-41D4-B377-E27989DF1BCE}" name="Tableau7" displayName="Tableau7" ref="Q67:Q78" totalsRowShown="0" headerRowDxfId="173" dataDxfId="172" tableBorderDxfId="171">
  <autoFilter ref="Q67:Q78" xr:uid="{32FCD628-308F-41D4-B377-E27989DF1BCE}">
    <filterColumn colId="0" hiddenButton="1"/>
  </autoFilter>
  <tableColumns count="1">
    <tableColumn id="1" xr3:uid="{91DC69E3-1864-4F51-826B-030CEC0D3EFE}" name="Proportion" dataDxfId="170">
      <calculatedColumnFormula>P68/P$78</calculatedColumnFormula>
    </tableColumn>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438E046-521B-498E-B56D-8107C97B0B60}" name="Tableau8" displayName="Tableau8" ref="Z67:Z78" totalsRowShown="0" headerRowDxfId="169" dataDxfId="168" tableBorderDxfId="167">
  <autoFilter ref="Z67:Z78" xr:uid="{2438E046-521B-498E-B56D-8107C97B0B60}">
    <filterColumn colId="0" hiddenButton="1"/>
  </autoFilter>
  <tableColumns count="1">
    <tableColumn id="1" xr3:uid="{AC1C3FA3-CC09-4FEB-A857-1AC0D357EAFC}" name="Proportion" dataDxfId="166">
      <calculatedColumnFormula>Y68/Y$78</calculatedColumnFormula>
    </tableColumn>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1D3B1D-F8A4-415C-924C-90FC76B7953B}" name="Tableau2" displayName="Tableau2" ref="A4:K64" totalsRowShown="0" headerRowDxfId="165" dataDxfId="164" tableBorderDxfId="163">
  <autoFilter ref="A4:K64" xr:uid="{531D3B1D-F8A4-415C-924C-90FC76B7953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F151DD8D-CFE5-418F-B7DF-2ED0318FA36D}" name="# des Stades" dataDxfId="162"/>
    <tableColumn id="2" xr3:uid="{B40B6C76-1272-49E2-9379-B9EECB7C306C}" name="Groupes" dataDxfId="161"/>
    <tableColumn id="3" xr3:uid="{75BBF1B1-3177-4DFF-9DE6-784DADBA8236}" name="Pays" dataDxfId="160">
      <calculatedColumnFormula array="1">_xlfn.IFS(A5&lt;=11,"Espagne",A5&lt;=17,"Maroc",A5&lt;=20,"Portugal")</calculatedColumnFormula>
    </tableColumn>
    <tableColumn id="4" xr3:uid="{959DB64A-32E2-48C7-B1A8-9161257198CD}" name="% billets vendues " dataDxfId="159">
      <calculatedColumnFormula array="1">_xlfn.IFS(A5=1,85000,A5=5,105000,A5=12,115000,A5=2,66975,A5=20,64600,A5=16,63050,A5=9,55872,A5=17,59800,A5=7,49036,A5=14,44296,A5=18,47000,A5=19,47595,A5=4,37260,A5=6,40608,A5=13,44135,A5=15,41850,A5=3,30576,A5=8,32870,A5=10,26100,A5=11,28796)</calculatedColumnFormula>
    </tableColumn>
    <tableColumn id="5" xr3:uid="{52007ABD-D6BC-44DC-A0A3-920FD3DCF07D}" name="Supplément" dataDxfId="158">
      <calculatedColumnFormula array="1">_xlfn.IFS(B5="A",22.5,B5="B",20,B5="C",17.5,B5="D",15,B5="E",12.5,B5="F",10,B5="G",7.5,B5="H",5,B5="I",2.5,B5="J",0)</calculatedColumnFormula>
    </tableColumn>
    <tableColumn id="6" xr3:uid="{B0477826-9270-41FB-8466-3D91419FA50C}" name="Prix" dataDxfId="157">
      <calculatedColumnFormula array="1">_xlfn.IFS(C5="Espagne",175,C5="Maroc",135,C5="Portugal",140)</calculatedColumnFormula>
    </tableColumn>
    <tableColumn id="7" xr3:uid="{572B6B7B-8D63-4B62-91ED-20F016ADF3BD}" name="Prix total" dataDxfId="156">
      <calculatedColumnFormula>E5+F5</calculatedColumnFormula>
    </tableColumn>
    <tableColumn id="8" xr3:uid="{64E86F41-6AEF-4607-B8DE-7929CF389115}" name="Revenue" dataDxfId="155">
      <calculatedColumnFormula>G5*D5</calculatedColumnFormula>
    </tableColumn>
    <tableColumn id="9" xr3:uid="{14156463-E735-43E5-A682-7281B41F099A}" name="Coûts" dataDxfId="154" dataCellStyle="Monétaire">
      <calculatedColumnFormula array="1">_xlfn.IFS(A5=1,1400000,A5=5,1725000,A5=12,2000000,A5=2,1225000,A5=20,1150000,A5=16,1150000,A5=9,1000000,A5=17,800000,A5=7,925000,A5=14,800000,A5=18,900000,A5=19,900000,A5=4,700000,A5=6,700000,A5=13,800000,A5=15,800000,A5=3,600000,A5=8,600000,A5=10,500000,A5=11,550000)</calculatedColumnFormula>
    </tableColumn>
    <tableColumn id="10" xr3:uid="{1A4FD4B0-58AB-4D13-8922-66B4F95E00DE}" name="Profit " dataDxfId="153">
      <calculatedColumnFormula>H5-I5</calculatedColumnFormula>
    </tableColumn>
    <tableColumn id="11" xr3:uid="{87FE60A4-41A6-415E-8DFA-5CB16C454F1A}" name="Sous capacité " dataDxfId="152">
      <calculatedColumnFormula>IF(Comparaison!$D5&lt;=50000,0,1)</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9DFC62-6908-4FBD-8F7A-F2D8618FB336}" name="Tableau4" displayName="Tableau4" ref="M4:Y64" totalsRowShown="0" headerRowDxfId="151" dataDxfId="150" tableBorderDxfId="149">
  <autoFilter ref="M4:Y64" xr:uid="{F19DFC62-6908-4FBD-8F7A-F2D8618FB3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C1FA54E9-0898-4CBB-B0FE-E36E8F1FCEDC}" name="# des Stades" dataDxfId="148"/>
    <tableColumn id="2" xr3:uid="{7634A4C8-812D-43AF-806D-3FA9C7256E58}" name="Groupes" dataDxfId="147"/>
    <tableColumn id="3" xr3:uid="{9D588D6A-25E9-4AD0-91E7-A3DD46E313B9}" name="Pays" dataDxfId="146">
      <calculatedColumnFormula array="1">_xlfn.IFS(M5&lt;=11,"Espagne",M5&lt;=17,"Maroc",M5&lt;=20,"Portugal")</calculatedColumnFormula>
    </tableColumn>
    <tableColumn id="4" xr3:uid="{9A871416-BFCF-4175-BB43-4287876A5955}" name="% billets vendues " dataDxfId="145">
      <calculatedColumnFormula array="1">_xlfn.IFS(M5=1,85000,M5=5,105000,M5=12,115000,M5=2,66975,M5=20,64600,M5=16,63050,M5=9,55872,M5=17,59800,M5=7,49036,M5=14,44296,M5=18,47000,M5=19,47595,M5=4,37260,M5=6,40608,M5=13,44135,M5=15,41850,M5=3,30576,M5=8,32870,M5=10,26100,M5=11,28796)</calculatedColumnFormula>
    </tableColumn>
    <tableColumn id="5" xr3:uid="{839DCA01-9BA2-451B-AD50-055B5EC1C64B}" name="Supplément" dataDxfId="144">
      <calculatedColumnFormula array="1">_xlfn.IFS(N5="A",22.5,N5="B",20,N5="C",17.5,N5="D",15,N5="E",12.5,N5="F",10,N5="G",7.5,N5="H",5,N5="I",2.5,N5="J",0)</calculatedColumnFormula>
    </tableColumn>
    <tableColumn id="6" xr3:uid="{AA0E8FED-BF86-408F-BBA2-D647D89AC143}" name="Prix" dataDxfId="143">
      <calculatedColumnFormula array="1">_xlfn.IFS(O5="Espagne",175,O5="Maroc",135,O5="Portugal",140)</calculatedColumnFormula>
    </tableColumn>
    <tableColumn id="7" xr3:uid="{39FF25BB-AEAC-420E-8BAC-D90B3CC21053}" name="Prix total" dataDxfId="142">
      <calculatedColumnFormula>Q5+R5</calculatedColumnFormula>
    </tableColumn>
    <tableColumn id="8" xr3:uid="{3B9C95C3-691D-4381-BA56-61D8BFEB8E84}" name="Revenue" dataDxfId="141">
      <calculatedColumnFormula>S5*P5</calculatedColumnFormula>
    </tableColumn>
    <tableColumn id="9" xr3:uid="{26EEA9F1-9B99-4446-87A1-DF8F71B36AFB}" name="Coûts" dataDxfId="140">
      <calculatedColumnFormula array="1">_xlfn.IFS(M5=1,1400000,M5=5,1725000,M5=12,2000000,M5=2,1225000,M5=20,1150000,M5=16,1150000,M5=9,1000000,M5=17,800000,M5=7,925000,M5=14,800000,M5=18,900000,M5=19,900000,M5=4,700000,M5=6,700000,M5=13,800000,M5=15,800000,M5=3,600000,M5=8,600000,M5=10,500000,M5=11,550000)</calculatedColumnFormula>
    </tableColumn>
    <tableColumn id="10" xr3:uid="{3B111EB9-D115-4C54-A133-FF8EE99935D3}" name="Taxes" dataDxfId="139">
      <calculatedColumnFormula array="1">_xlfn.IFS(M5=1,1.25%,M5=5,1.25%,M5=12,1.5%,M5=2,2.25%,M5=20,1.75%,M5=16,1.5%,M5=9,2.25%,M5=17,1.25%,M5=7,1.75%,M5=14,2%,M5=18,1.75%,M5=19,1.75%,M5=4,2%,M5=6,2.25%,M5=13,1.5%,M5=15,2%,M5=3,2.25%,M5=8,1.5%,M5=10,1.75%,M5=11,2%)</calculatedColumnFormula>
    </tableColumn>
    <tableColumn id="11" xr3:uid="{55F27181-8DB1-4063-8733-5947051C5E0C}" name="Montant des taxes " dataDxfId="138">
      <calculatedColumnFormula>Comparaison!$V5*Comparaison!$S5*Comparaison!$P5</calculatedColumnFormula>
    </tableColumn>
    <tableColumn id="12" xr3:uid="{5F0A915F-95B5-414D-932F-E73900520871}" name="Profit " dataDxfId="137">
      <calculatedColumnFormula>T5-Comparaison!$U5-Comparaison!$W5</calculatedColumnFormula>
    </tableColumn>
    <tableColumn id="13" xr3:uid="{772B47E2-A3D1-4B6D-8869-8E11DB001776}" name="Sous capacité" dataDxfId="136">
      <calculatedColumnFormula>IF(Comparaison!$P5&lt;=50000,0,1)</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7FF5D8-C99A-4DC2-8291-F166576019B8}" name="Tableau5" displayName="Tableau5" ref="K5:L10" headerRowCount="0">
  <tableColumns count="2">
    <tableColumn id="1" xr3:uid="{38A76218-9FE6-4DA7-A5A1-460EFA2CCAE7}" name="Colonne1" totalsRowLabel="Total"/>
    <tableColumn id="2" xr3:uid="{95B48BBF-FAE5-49EB-BD36-F5B3058DDA0D}" name="Colonne2" totalsRowFunction="sum" headerRowDxfId="102" dataDxfId="101" totalsRowDxfId="100"/>
  </tableColumns>
  <tableStyleInfo name="TableStyleMedium3"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2A40EF-1BB4-433B-9236-C4FDAD463B54}" name="Tableau6" displayName="Tableau6" ref="B5:C10" headerRowCount="0" totalsRowShown="0">
  <tableColumns count="2">
    <tableColumn id="1" xr3:uid="{6ED6BCDF-0DB9-4822-A6E3-C9DAB5E0AB3B}" name="Colonne1"/>
    <tableColumn id="2" xr3:uid="{8D44D896-C0DD-4A3B-9A63-7FBE96715814}" name="Colonne2" headerRowDxfId="99" dataDxfId="98"/>
  </tableColumns>
  <tableStyleInfo name="TableStyleMedium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728E34B-0985-49F6-B167-22988DA15DED}" name="Tableau12" displayName="Tableau12" ref="L34:N44" headerRowCount="0" totalsRowShown="0">
  <tableColumns count="3">
    <tableColumn id="1" xr3:uid="{0D0B1071-AEC6-46D0-9ADB-AF6E089F4AD2}" name="Colonne1"/>
    <tableColumn id="2" xr3:uid="{5700E67D-36B9-4390-8D62-72BFC3736932}" name="Colonne2"/>
    <tableColumn id="3" xr3:uid="{447CD7B0-1220-4DE4-A123-4BCC82244959}" name="Colonne3"/>
  </tableColumns>
  <tableStyleInfo name="TableStyleLight1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7787331-4D15-4208-82FE-15212EC44A51}" name="Tableau13" displayName="Tableau13" ref="A34:C44" headerRowCount="0" totalsRowShown="0">
  <tableColumns count="3">
    <tableColumn id="1" xr3:uid="{4597D5BF-B31E-423A-8B60-27C5C9AFFBC5}" name="Colonne1"/>
    <tableColumn id="2" xr3:uid="{33CB165A-F82D-4120-880D-B19D32B327D2}" name="Colonne2"/>
    <tableColumn id="3" xr3:uid="{3A6DF84B-737F-4656-BA52-022050D6920B}" name="Colonne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CF2C6B5-AB41-4DE4-A219-0150F99C2676}" name="Tableau14" displayName="Tableau14" ref="A55:D65" headerRowCount="0" totalsRowShown="0">
  <tableColumns count="4">
    <tableColumn id="1" xr3:uid="{4515BEE4-6E1D-41FB-836A-822D00052A79}" name="Colonne1"/>
    <tableColumn id="2" xr3:uid="{BA0FB05C-3559-44A9-9197-D3C17DB372C6}" name="Colonne2"/>
    <tableColumn id="3" xr3:uid="{B181DD04-15F9-4914-8FD9-6C3C5B757EBC}" name="Colonne3" headerRowDxfId="97" dataDxfId="96" headerRowCellStyle="Monétaire" dataCellStyle="Monétaire"/>
    <tableColumn id="4" xr3:uid="{41946846-C8DF-4548-A77C-B75C9D941D43}" name="Colonne4" headerRowDxfId="95" dataDxfId="9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AB623E3-51D0-4B0C-829B-8F185A42E009}" name="Tableau15" displayName="Tableau15" ref="M55:P65" headerRowCount="0" totalsRowShown="0">
  <tableColumns count="4">
    <tableColumn id="1" xr3:uid="{8C537BCF-3978-42D0-8660-AFBA8C31CFE2}" name="Colonne1"/>
    <tableColumn id="2" xr3:uid="{600455D5-1587-4119-8609-BB57459605F0}" name="Colonne2"/>
    <tableColumn id="3" xr3:uid="{772A638F-3A80-44B5-BA57-2A7E19CA5AF7}" name="Colonne3" headerRowDxfId="93" dataDxfId="92" headerRowCellStyle="Monétaire" dataCellStyle="Monétaire"/>
    <tableColumn id="4" xr3:uid="{B28D3CCD-8855-45CA-A11C-0E5B9B3AF919}" name="Colonne4" headerRowDxfId="91" dataDxfId="90"/>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416896D-3AF4-4523-92AC-D614A552F097}" name="Tableau9" displayName="Tableau9" ref="N5:R7" totalsRowShown="0" headerRowDxfId="89" tableBorderDxfId="88">
  <autoFilter ref="N5:R7" xr:uid="{6416896D-3AF4-4523-92AC-D614A552F097}">
    <filterColumn colId="0" hiddenButton="1"/>
    <filterColumn colId="1" hiddenButton="1"/>
    <filterColumn colId="2" hiddenButton="1"/>
    <filterColumn colId="3" hiddenButton="1"/>
    <filterColumn colId="4" hiddenButton="1"/>
  </autoFilter>
  <tableColumns count="5">
    <tableColumn id="1" xr3:uid="{A232AA1C-DC47-4E43-8092-E941DB2DE635}" name="Option 1" dataDxfId="87"/>
    <tableColumn id="2" xr3:uid="{6AF41D69-EB7F-429A-ABAB-E68B94C633AF}" name="Stades/Pays" dataDxfId="86"/>
    <tableColumn id="3" xr3:uid="{5A791261-2331-4B4B-ACC3-F09336631C70}" name="Groupe" dataDxfId="85"/>
    <tableColumn id="4" xr3:uid="{DD61D5F4-5C00-41CB-A02C-FFE58DB57AE7}" name="Nbr de match" dataDxfId="84"/>
    <tableColumn id="5" xr3:uid="{4162488D-2577-40AE-AA2E-2218F9F5CA36}" name="Profit" dataDxfId="83" dataCellStyle="Monétair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025694B-63CD-4BA1-987B-36821ED24DEE}" name="Tableau10" displayName="Tableau10" ref="N13:R15" totalsRowShown="0" headerRowDxfId="82" tableBorderDxfId="81">
  <autoFilter ref="N13:R15" xr:uid="{3025694B-63CD-4BA1-987B-36821ED24DEE}">
    <filterColumn colId="0" hiddenButton="1"/>
    <filterColumn colId="1" hiddenButton="1"/>
    <filterColumn colId="2" hiddenButton="1"/>
    <filterColumn colId="3" hiddenButton="1"/>
    <filterColumn colId="4" hiddenButton="1"/>
  </autoFilter>
  <tableColumns count="5">
    <tableColumn id="1" xr3:uid="{CFE294EE-D70F-4312-8494-C39F8EDD76A6}" name="Option 2" dataDxfId="80"/>
    <tableColumn id="2" xr3:uid="{D5676DB8-DB02-4689-AB06-FB8751E1E18D}" name="Stades/Pays" dataDxfId="79"/>
    <tableColumn id="3" xr3:uid="{AF582525-919E-4B68-B699-D729AEEADD3E}" name="Groupe" dataDxfId="78"/>
    <tableColumn id="4" xr3:uid="{9702FB7B-FF9C-463A-BD7A-E7C2BC3146F0}" name="Nbr Match" dataDxfId="77"/>
    <tableColumn id="5" xr3:uid="{17612E9B-05FF-4ABA-A0B7-1555656C9098}" name="Profit" dataDxfId="76" dataCellStyle="Monétaire"/>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028E1DC-7866-49B9-988A-DF9FF45A58FA}" name="Tableau519" displayName="Tableau519" ref="M72:N77" headerRowCount="0">
  <tableColumns count="2">
    <tableColumn id="1" xr3:uid="{C5786145-58E6-4D0E-ACD3-4D346D2DD468}" name="Colonne1" totalsRowLabel="Total"/>
    <tableColumn id="2" xr3:uid="{ED810C4B-60EA-46F9-9A56-1410243CFEC6}" name="Colonne2" totalsRowFunction="sum" headerRowDxfId="75" dataDxfId="74" totalsRowDxfId="73"/>
  </tableColumns>
  <tableStyleInfo name="TableStyleMedium3"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3B7878A-D172-4018-BC16-8579A0E9B1B2}" name="Tableau51921" displayName="Tableau51921" ref="A72:B77" headerRowCount="0">
  <tableColumns count="2">
    <tableColumn id="1" xr3:uid="{61FC4493-85FA-48D6-95EB-03A52889102F}" name="Colonne1" totalsRowLabel="Total"/>
    <tableColumn id="2" xr3:uid="{90BBAA3E-65A7-43D3-8B78-95320AFD722B}" name="Colonne2" totalsRowFunction="sum" headerRowDxfId="72" dataDxfId="71" totalsRowDxfId="70"/>
  </tableColumns>
  <tableStyleInfo name="TableStyleMedium2"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B1DA78A-1467-43BA-B8B9-762879619FD6}" name="Tableau1017" displayName="Tableau1017" ref="N8:R10" totalsRowShown="0" headerRowDxfId="69" tableBorderDxfId="68">
  <autoFilter ref="N8:R10" xr:uid="{CB1DA78A-1467-43BA-B8B9-762879619FD6}">
    <filterColumn colId="0" hiddenButton="1"/>
    <filterColumn colId="1" hiddenButton="1"/>
    <filterColumn colId="2" hiddenButton="1"/>
    <filterColumn colId="3" hiddenButton="1"/>
    <filterColumn colId="4" hiddenButton="1"/>
  </autoFilter>
  <tableColumns count="5">
    <tableColumn id="1" xr3:uid="{7C77EF54-8480-45C2-AED3-8BB16EF8B208}" name="Option 2" dataDxfId="67"/>
    <tableColumn id="2" xr3:uid="{A279C1C5-152F-4057-B5ED-57282A9B9709}" name="Stades/Pays" dataDxfId="66"/>
    <tableColumn id="3" xr3:uid="{166F84E0-3780-4BFE-A679-BE5D6354E772}" name="Groupe" dataDxfId="65"/>
    <tableColumn id="4" xr3:uid="{7A0CA8AF-A90D-450A-A01A-4395B8299D70}" name="Nbr Match" dataDxfId="64"/>
    <tableColumn id="5" xr3:uid="{A0BFB078-61B8-4202-9975-BC5A4AE10106}" name="Profit" dataDxfId="63" dataCellStyle="Monétaire"/>
  </tableColumns>
  <tableStyleInfo name="TableStyleMedium3"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hecmontreal.atlassian.net/wiki/spaces/FEXC/pages/2959311089/Solveur+Probl+matiques+connues" TargetMode="External"/><Relationship Id="rId2" Type="http://schemas.openxmlformats.org/officeDocument/2006/relationships/hyperlink" Target="https://hecmontreal.atlassian.net/wiki/spaces/FEXC/pages/2959736864/Probl+matiques+connues" TargetMode="External"/><Relationship Id="rId1" Type="http://schemas.openxmlformats.org/officeDocument/2006/relationships/hyperlink" Target="https://hecmontreal.atlassian.net/wiki/spaces/FEXC/pages/2984181924/Fichier+lent+-+Que+faire" TargetMode="External"/><Relationship Id="rId4"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13" Type="http://schemas.openxmlformats.org/officeDocument/2006/relationships/table" Target="../tables/table15.xml"/><Relationship Id="rId3" Type="http://schemas.openxmlformats.org/officeDocument/2006/relationships/printerSettings" Target="../printerSettings/printerSettings2.bin"/><Relationship Id="rId7" Type="http://schemas.openxmlformats.org/officeDocument/2006/relationships/table" Target="../tables/table9.xml"/><Relationship Id="rId12" Type="http://schemas.openxmlformats.org/officeDocument/2006/relationships/table" Target="../tables/table1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8.xml"/><Relationship Id="rId11" Type="http://schemas.openxmlformats.org/officeDocument/2006/relationships/table" Target="../tables/table13.xml"/><Relationship Id="rId5" Type="http://schemas.openxmlformats.org/officeDocument/2006/relationships/table" Target="../tables/table7.xml"/><Relationship Id="rId15" Type="http://schemas.openxmlformats.org/officeDocument/2006/relationships/table" Target="../tables/table17.xml"/><Relationship Id="rId10" Type="http://schemas.openxmlformats.org/officeDocument/2006/relationships/table" Target="../tables/table12.xml"/><Relationship Id="rId4" Type="http://schemas.openxmlformats.org/officeDocument/2006/relationships/drawing" Target="../drawings/drawing1.xml"/><Relationship Id="rId9" Type="http://schemas.openxmlformats.org/officeDocument/2006/relationships/table" Target="../tables/table11.xml"/><Relationship Id="rId14"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2DB58-FDB2-49BF-A6CD-DBC1B0720929}">
  <sheetPr codeName="Feuil6"/>
  <dimension ref="A1:O10000"/>
  <sheetViews>
    <sheetView tabSelected="1" workbookViewId="0">
      <selection activeCell="I17" sqref="I17"/>
    </sheetView>
  </sheetViews>
  <sheetFormatPr baseColWidth="10" defaultColWidth="11.3984375" defaultRowHeight="14.25"/>
  <cols>
    <col min="1" max="7" width="12.73046875" style="4" customWidth="1"/>
    <col min="8" max="16384" width="11.3984375" style="4"/>
  </cols>
  <sheetData>
    <row r="1" spans="1:8">
      <c r="A1" s="249" t="s">
        <v>0</v>
      </c>
      <c r="B1" s="249"/>
      <c r="C1" s="249"/>
      <c r="D1" s="249"/>
      <c r="E1" s="249"/>
      <c r="F1" s="249"/>
      <c r="G1" s="249"/>
      <c r="H1" s="1"/>
    </row>
    <row r="2" spans="1:8">
      <c r="A2" s="249"/>
      <c r="B2" s="249"/>
      <c r="C2" s="249"/>
      <c r="D2" s="249"/>
      <c r="E2" s="249"/>
      <c r="F2" s="249"/>
      <c r="G2" s="249"/>
    </row>
    <row r="3" spans="1:8">
      <c r="A3" s="250" t="s">
        <v>1</v>
      </c>
      <c r="B3" s="250"/>
      <c r="C3" s="250"/>
      <c r="D3" s="250"/>
      <c r="E3" s="250"/>
      <c r="F3" s="250"/>
      <c r="G3" s="250"/>
    </row>
    <row r="4" spans="1:8">
      <c r="A4" s="250"/>
      <c r="B4" s="250"/>
      <c r="C4" s="250"/>
      <c r="D4" s="250"/>
      <c r="E4" s="250"/>
      <c r="F4" s="250"/>
      <c r="G4" s="250"/>
    </row>
    <row r="5" spans="1:8">
      <c r="A5" s="22"/>
      <c r="B5" s="22"/>
      <c r="C5" s="22"/>
      <c r="D5" s="22"/>
      <c r="E5" s="22"/>
      <c r="F5" s="22"/>
      <c r="G5" s="22"/>
    </row>
    <row r="6" spans="1:8">
      <c r="A6" s="251" t="str" cm="1">
        <f t="array" ref="A6">_xlfn.LET(_xlpm.X,COUNT(B11:B15),_xlpm.Y,_xlfn.UNIQUE(G11:G15),_xlpm.W,_xlfn._xlws.FILTER(_xlpm.Y,_xlpm.Y&lt;&gt;""),_xlpm.Z,COUNTA(_xlpm.W),_xlfn.IFS(OR(_xlpm.X&lt;3,_xlpm.X&gt;5),"Vous devez former des équipes de 3 à 5 personnes d'une même section.",_xlpm.Z=1,"Merci. Vous êtes une équipe de "&amp;_xlpm.X&amp;" personnes de la section "&amp;_xlpm.W,TRUE,"Attention, vous devez former une équipe d'étudiants de la même section."))</f>
        <v>Merci. Vous êtes une équipe de 3 personnes de la section B45</v>
      </c>
      <c r="B6" s="252"/>
      <c r="C6" s="252"/>
      <c r="D6" s="252"/>
      <c r="E6" s="252"/>
      <c r="F6" s="252"/>
      <c r="G6" s="253"/>
    </row>
    <row r="7" spans="1:8">
      <c r="A7" s="254"/>
      <c r="B7" s="255"/>
      <c r="C7" s="255"/>
      <c r="D7" s="255"/>
      <c r="E7" s="255"/>
      <c r="F7" s="255"/>
      <c r="G7" s="256"/>
    </row>
    <row r="8" spans="1:8">
      <c r="A8" s="22"/>
      <c r="B8" s="22"/>
      <c r="C8" s="22"/>
      <c r="D8" s="22"/>
      <c r="E8" s="22"/>
      <c r="F8" s="22"/>
      <c r="G8" s="22"/>
    </row>
    <row r="9" spans="1:8">
      <c r="A9" s="5" t="s">
        <v>2</v>
      </c>
      <c r="B9" s="5"/>
      <c r="C9" s="13"/>
      <c r="D9" s="13"/>
      <c r="E9" s="13"/>
      <c r="F9" s="13"/>
      <c r="G9" s="5"/>
    </row>
    <row r="10" spans="1:8">
      <c r="A10" s="3" t="s">
        <v>3</v>
      </c>
      <c r="B10" s="11" t="s">
        <v>4</v>
      </c>
      <c r="C10" s="17" t="s">
        <v>5</v>
      </c>
      <c r="D10" s="18"/>
      <c r="E10" s="18"/>
      <c r="F10" s="19"/>
      <c r="G10" s="12" t="s">
        <v>6</v>
      </c>
    </row>
    <row r="11" spans="1:8">
      <c r="A11" s="20">
        <v>1</v>
      </c>
      <c r="B11" s="6">
        <v>11317258</v>
      </c>
      <c r="C11" s="14" t="str">
        <f>IFERROR(IF(B11="","",VLOOKUP(B11,Liste,2,0)),"Matricule inexistant")</f>
        <v>Tshiya Wamonakeba, Estha</v>
      </c>
      <c r="D11" s="15"/>
      <c r="E11" s="15"/>
      <c r="F11" s="16"/>
      <c r="G11" s="7" t="str">
        <f>IFERROR(IF(B11="","",VLOOKUP(B11,Liste,3,0)),"Erreur")</f>
        <v>B45</v>
      </c>
    </row>
    <row r="12" spans="1:8">
      <c r="A12" s="20">
        <v>2</v>
      </c>
      <c r="B12" s="2">
        <v>11335964</v>
      </c>
      <c r="C12" s="8" t="str">
        <f>IFERROR(IF(B12="","",VLOOKUP(B12,Liste,2,0)),"Matricule inexistant")</f>
        <v>Ouedraogo, Wendyam</v>
      </c>
      <c r="D12" s="9"/>
      <c r="E12" s="9"/>
      <c r="F12" s="10"/>
      <c r="G12" s="7" t="str">
        <f>IFERROR(IF(B12="","",VLOOKUP(B12,Liste,3,0)),"Erreur")</f>
        <v>B45</v>
      </c>
    </row>
    <row r="13" spans="1:8">
      <c r="A13" s="20">
        <v>3</v>
      </c>
      <c r="B13" s="2">
        <v>11350903</v>
      </c>
      <c r="C13" s="8" t="str">
        <f>IFERROR(IF(B13="","",VLOOKUP(B13,Liste,2,0)),"Matricule inexistant")</f>
        <v>Zhong, Catherine-Yutong</v>
      </c>
      <c r="D13" s="9"/>
      <c r="E13" s="9"/>
      <c r="F13" s="10"/>
      <c r="G13" s="7" t="str">
        <f>IFERROR(IF(B13="","",VLOOKUP(B13,Liste,3,0)),"Erreur")</f>
        <v>B45</v>
      </c>
    </row>
    <row r="14" spans="1:8">
      <c r="A14" s="20">
        <v>4</v>
      </c>
      <c r="B14" s="2"/>
      <c r="C14" s="8" t="str">
        <f>IFERROR(IF(B14="","",VLOOKUP(B14,Liste,2,0)),"Matricule inexistant")</f>
        <v/>
      </c>
      <c r="D14" s="9"/>
      <c r="E14" s="9"/>
      <c r="F14" s="10"/>
      <c r="G14" s="7" t="str">
        <f>IFERROR(IF(B14="","",VLOOKUP(B14,Liste,3,0)),"Erreur")</f>
        <v/>
      </c>
    </row>
    <row r="15" spans="1:8">
      <c r="A15" s="20">
        <v>5</v>
      </c>
      <c r="B15" s="2"/>
      <c r="C15" s="8" t="str">
        <f>IFERROR(IF(B15="","",VLOOKUP(B15,Liste,2,0)),"Matricule inexistant")</f>
        <v/>
      </c>
      <c r="D15" s="9"/>
      <c r="E15" s="9"/>
      <c r="F15" s="10"/>
      <c r="G15" s="7" t="str">
        <f>IFERROR(IF(B15="","",VLOOKUP(B15,Liste,3,0)),"Erreur")</f>
        <v/>
      </c>
    </row>
    <row r="17" spans="1:7" ht="14.25" customHeight="1">
      <c r="A17" s="247" t="s">
        <v>7</v>
      </c>
      <c r="B17" s="247"/>
      <c r="C17" s="247"/>
      <c r="D17" s="247"/>
      <c r="E17" s="247"/>
      <c r="F17" s="247"/>
      <c r="G17" s="247"/>
    </row>
    <row r="18" spans="1:7">
      <c r="A18" s="247"/>
      <c r="B18" s="247"/>
      <c r="C18" s="247"/>
      <c r="D18" s="247"/>
      <c r="E18" s="247"/>
      <c r="F18" s="247"/>
      <c r="G18" s="247"/>
    </row>
    <row r="20" spans="1:7" ht="14.25" customHeight="1">
      <c r="A20" s="248" t="s">
        <v>8</v>
      </c>
      <c r="B20" s="248"/>
      <c r="C20" s="248"/>
      <c r="D20" s="248"/>
      <c r="E20" s="248"/>
      <c r="F20" s="248"/>
      <c r="G20" s="248"/>
    </row>
    <row r="21" spans="1:7" ht="14.25" customHeight="1">
      <c r="A21" s="248"/>
      <c r="B21" s="248"/>
      <c r="C21" s="248"/>
      <c r="D21" s="248"/>
      <c r="E21" s="248"/>
      <c r="F21" s="248"/>
      <c r="G21" s="248"/>
    </row>
    <row r="22" spans="1:7" ht="14.25" customHeight="1">
      <c r="A22" s="248"/>
      <c r="B22" s="248"/>
      <c r="C22" s="248"/>
      <c r="D22" s="248"/>
      <c r="E22" s="248"/>
      <c r="F22" s="248"/>
      <c r="G22" s="248"/>
    </row>
    <row r="24" spans="1:7">
      <c r="A24" s="257" t="s">
        <v>9</v>
      </c>
      <c r="B24" s="257"/>
      <c r="C24" s="257"/>
      <c r="D24" s="257"/>
      <c r="E24" s="257"/>
      <c r="F24" s="257"/>
      <c r="G24" s="257"/>
    </row>
    <row r="25" spans="1:7">
      <c r="A25" s="257"/>
      <c r="B25" s="257"/>
      <c r="C25" s="257"/>
      <c r="D25" s="257"/>
      <c r="E25" s="257"/>
      <c r="F25" s="257"/>
      <c r="G25" s="257"/>
    </row>
    <row r="26" spans="1:7">
      <c r="A26" s="246" t="s">
        <v>10</v>
      </c>
      <c r="B26" s="246"/>
      <c r="C26" s="246"/>
      <c r="D26" s="246"/>
      <c r="E26" s="246"/>
      <c r="F26" s="246"/>
      <c r="G26" s="246"/>
    </row>
    <row r="27" spans="1:7">
      <c r="A27" s="246"/>
      <c r="B27" s="246"/>
      <c r="C27" s="246"/>
      <c r="D27" s="246"/>
      <c r="E27" s="246"/>
      <c r="F27" s="246"/>
      <c r="G27" s="246"/>
    </row>
    <row r="28" spans="1:7">
      <c r="A28" s="246" t="s">
        <v>11</v>
      </c>
      <c r="B28" s="246"/>
      <c r="C28" s="246"/>
      <c r="D28" s="246"/>
      <c r="E28" s="246"/>
      <c r="F28" s="246"/>
      <c r="G28" s="246"/>
    </row>
    <row r="29" spans="1:7">
      <c r="A29" s="246"/>
      <c r="B29" s="246"/>
      <c r="C29" s="246"/>
      <c r="D29" s="246"/>
      <c r="E29" s="246"/>
      <c r="F29" s="246"/>
      <c r="G29" s="246"/>
    </row>
    <row r="30" spans="1:7">
      <c r="A30" s="246" t="s">
        <v>12</v>
      </c>
      <c r="B30" s="246"/>
      <c r="C30" s="246"/>
      <c r="D30" s="246"/>
      <c r="E30" s="246"/>
      <c r="F30" s="246"/>
      <c r="G30" s="246"/>
    </row>
    <row r="31" spans="1:7">
      <c r="A31" s="246"/>
      <c r="B31" s="246"/>
      <c r="C31" s="246"/>
      <c r="D31" s="246"/>
      <c r="E31" s="246"/>
      <c r="F31" s="246"/>
      <c r="G31" s="246"/>
    </row>
    <row r="9997" spans="13:15">
      <c r="O9997" s="21"/>
    </row>
    <row r="9998" spans="13:15">
      <c r="M9998" s="21"/>
      <c r="N9998" s="22"/>
    </row>
    <row r="10000" spans="13:15">
      <c r="M10000" s="21"/>
    </row>
  </sheetData>
  <sheetProtection algorithmName="SHA-512" hashValue="s730xWvmegVZH4fUM+7/m0Hapt+2Qqb2DB7hTrB0vQJ5mYvl9hcCMzANoU0IyfUwTEAxBC+sgZw/y6hWJ8Nc5w==" saltValue="0ELhmu5FkxomPiad9FKYUA==" spinCount="100000" sheet="1" objects="1" scenarios="1"/>
  <mergeCells count="9">
    <mergeCell ref="A30:G31"/>
    <mergeCell ref="A26:G27"/>
    <mergeCell ref="A17:G18"/>
    <mergeCell ref="A20:G22"/>
    <mergeCell ref="A1:G2"/>
    <mergeCell ref="A3:G4"/>
    <mergeCell ref="A6:G7"/>
    <mergeCell ref="A24:G25"/>
    <mergeCell ref="A28:G29"/>
  </mergeCells>
  <conditionalFormatting sqref="A6">
    <cfRule type="containsText" dxfId="189" priority="3" operator="containsText" text="devez">
      <formula>NOT(ISERROR(SEARCH("devez",A6)))</formula>
    </cfRule>
  </conditionalFormatting>
  <conditionalFormatting sqref="C11:G15">
    <cfRule type="expression" dxfId="188" priority="2">
      <formula>$B11=""</formula>
    </cfRule>
  </conditionalFormatting>
  <conditionalFormatting sqref="A11:G15">
    <cfRule type="expression" dxfId="187" priority="1">
      <formula>$G11="Erreur"</formula>
    </cfRule>
  </conditionalFormatting>
  <hyperlinks>
    <hyperlink ref="A28:G29" r:id="rId1" display="Problématiques connues - Fichier lent : Quoi faire ? (Utile pour le rapport 2)" xr:uid="{0086F9EC-2353-4C9B-8ECA-801918F30893}"/>
    <hyperlink ref="A30:G31" r:id="rId2" display="Problématiques connues - Liste complète" xr:uid="{436114B1-F488-4ED4-921F-331DAF29A5C5}"/>
    <hyperlink ref="A26:G27" r:id="rId3" display="Problématiques connues - Solveur" xr:uid="{AA650B04-45BE-4444-B836-5ACDB7CD0D02}"/>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0E6CA-9162-254C-A49F-065B6D565923}">
  <sheetPr codeName="Sheet1"/>
  <dimension ref="A1:L76"/>
  <sheetViews>
    <sheetView topLeftCell="A15" zoomScaleNormal="100" workbookViewId="0">
      <selection activeCell="O15" sqref="O15"/>
    </sheetView>
  </sheetViews>
  <sheetFormatPr baseColWidth="10" defaultColWidth="10.73046875" defaultRowHeight="14.25"/>
  <cols>
    <col min="1" max="11" width="13.86328125" style="23" customWidth="1"/>
  </cols>
  <sheetData>
    <row r="1" spans="1:12" ht="15" customHeight="1">
      <c r="A1" s="261" t="s">
        <v>13</v>
      </c>
      <c r="B1" s="262"/>
      <c r="C1" s="262"/>
      <c r="D1" s="262"/>
      <c r="E1" s="262"/>
      <c r="F1" s="262"/>
      <c r="G1" s="262"/>
      <c r="H1" s="262"/>
      <c r="I1" s="262"/>
      <c r="J1" s="262"/>
      <c r="K1" s="263"/>
    </row>
    <row r="2" spans="1:12" ht="15" customHeight="1">
      <c r="A2" s="264"/>
      <c r="B2" s="265"/>
      <c r="C2" s="265"/>
      <c r="D2" s="265"/>
      <c r="E2" s="265"/>
      <c r="F2" s="265"/>
      <c r="G2" s="265"/>
      <c r="H2" s="265"/>
      <c r="I2" s="265"/>
      <c r="J2" s="265"/>
      <c r="K2" s="266"/>
    </row>
    <row r="4" spans="1:12">
      <c r="A4" s="34" t="s">
        <v>3</v>
      </c>
      <c r="B4" s="267" t="s">
        <v>14</v>
      </c>
      <c r="C4" s="267"/>
      <c r="D4" s="267"/>
      <c r="E4" s="267"/>
      <c r="F4" s="35" t="s">
        <v>15</v>
      </c>
      <c r="G4" s="35" t="s">
        <v>16</v>
      </c>
      <c r="H4" s="35" t="s">
        <v>17</v>
      </c>
      <c r="I4" s="35" t="s">
        <v>18</v>
      </c>
      <c r="J4" s="35" t="s">
        <v>19</v>
      </c>
      <c r="K4" s="35" t="s">
        <v>20</v>
      </c>
      <c r="L4" s="154" t="s">
        <v>1454</v>
      </c>
    </row>
    <row r="5" spans="1:12">
      <c r="A5" s="37" cm="1">
        <f t="array" ref="A5:A24">_xlfn.SEQUENCE(20)</f>
        <v>1</v>
      </c>
      <c r="B5" s="260" t="s">
        <v>21</v>
      </c>
      <c r="C5" s="260"/>
      <c r="D5" s="260"/>
      <c r="E5" s="260"/>
      <c r="F5" s="25" t="s">
        <v>22</v>
      </c>
      <c r="G5" s="26" t="s">
        <v>23</v>
      </c>
      <c r="H5" s="27">
        <v>85000</v>
      </c>
      <c r="I5" s="51">
        <v>1</v>
      </c>
      <c r="J5" s="41">
        <v>1400000</v>
      </c>
      <c r="K5" s="191">
        <v>1.2500000000000001E-2</v>
      </c>
      <c r="L5" s="84">
        <f>IF(H5&lt;=50000,0,1)</f>
        <v>1</v>
      </c>
    </row>
    <row r="6" spans="1:12">
      <c r="A6" s="37">
        <v>2</v>
      </c>
      <c r="B6" s="260" t="s">
        <v>24</v>
      </c>
      <c r="C6" s="260"/>
      <c r="D6" s="260"/>
      <c r="E6" s="260"/>
      <c r="F6" s="25" t="s">
        <v>22</v>
      </c>
      <c r="G6" s="26" t="s">
        <v>23</v>
      </c>
      <c r="H6" s="27">
        <v>70500</v>
      </c>
      <c r="I6" s="51">
        <v>0.95</v>
      </c>
      <c r="J6" s="41">
        <v>1225000</v>
      </c>
      <c r="K6" s="191">
        <v>2.2499999999999999E-2</v>
      </c>
      <c r="L6" s="84">
        <f t="shared" ref="L6:L24" si="0">IF(H6&lt;=50000,0,1)</f>
        <v>1</v>
      </c>
    </row>
    <row r="7" spans="1:12">
      <c r="A7" s="37">
        <v>3</v>
      </c>
      <c r="B7" s="260" t="s">
        <v>25</v>
      </c>
      <c r="C7" s="260"/>
      <c r="D7" s="260"/>
      <c r="E7" s="260"/>
      <c r="F7" s="25" t="s">
        <v>26</v>
      </c>
      <c r="G7" s="26" t="s">
        <v>23</v>
      </c>
      <c r="H7" s="27">
        <v>33600</v>
      </c>
      <c r="I7" s="51">
        <v>0.91</v>
      </c>
      <c r="J7" s="41">
        <v>600000</v>
      </c>
      <c r="K7" s="191">
        <v>2.2499999999999999E-2</v>
      </c>
      <c r="L7" s="84">
        <f t="shared" si="0"/>
        <v>0</v>
      </c>
    </row>
    <row r="8" spans="1:12">
      <c r="A8" s="37">
        <v>4</v>
      </c>
      <c r="B8" s="260" t="s">
        <v>27</v>
      </c>
      <c r="C8" s="260"/>
      <c r="D8" s="260"/>
      <c r="E8" s="260"/>
      <c r="F8" s="25" t="s">
        <v>28</v>
      </c>
      <c r="G8" s="26" t="s">
        <v>23</v>
      </c>
      <c r="H8" s="27">
        <v>40500</v>
      </c>
      <c r="I8" s="51">
        <v>0.92</v>
      </c>
      <c r="J8" s="41">
        <v>700000</v>
      </c>
      <c r="K8" s="191">
        <v>0.02</v>
      </c>
      <c r="L8" s="84">
        <f t="shared" si="0"/>
        <v>0</v>
      </c>
    </row>
    <row r="9" spans="1:12">
      <c r="A9" s="37">
        <v>5</v>
      </c>
      <c r="B9" s="260" t="s">
        <v>29</v>
      </c>
      <c r="C9" s="260"/>
      <c r="D9" s="260"/>
      <c r="E9" s="260"/>
      <c r="F9" s="25" t="s">
        <v>28</v>
      </c>
      <c r="G9" s="26" t="s">
        <v>23</v>
      </c>
      <c r="H9" s="27">
        <v>105000</v>
      </c>
      <c r="I9" s="51">
        <v>1</v>
      </c>
      <c r="J9" s="41">
        <v>1725000</v>
      </c>
      <c r="K9" s="191">
        <v>1.2500000000000001E-2</v>
      </c>
      <c r="L9" s="84">
        <f t="shared" si="0"/>
        <v>1</v>
      </c>
    </row>
    <row r="10" spans="1:12">
      <c r="A10" s="37">
        <v>6</v>
      </c>
      <c r="B10" s="260" t="s">
        <v>30</v>
      </c>
      <c r="C10" s="260"/>
      <c r="D10" s="260"/>
      <c r="E10" s="260"/>
      <c r="F10" s="25" t="s">
        <v>31</v>
      </c>
      <c r="G10" s="26" t="s">
        <v>23</v>
      </c>
      <c r="H10" s="27">
        <v>42300</v>
      </c>
      <c r="I10" s="51">
        <v>0.96</v>
      </c>
      <c r="J10" s="41">
        <v>700000</v>
      </c>
      <c r="K10" s="191">
        <v>2.2499999999999999E-2</v>
      </c>
      <c r="L10" s="84">
        <f t="shared" si="0"/>
        <v>0</v>
      </c>
    </row>
    <row r="11" spans="1:12">
      <c r="A11" s="37">
        <v>7</v>
      </c>
      <c r="B11" s="260" t="s">
        <v>32</v>
      </c>
      <c r="C11" s="260"/>
      <c r="D11" s="260"/>
      <c r="E11" s="260"/>
      <c r="F11" s="25" t="s">
        <v>33</v>
      </c>
      <c r="G11" s="26" t="s">
        <v>23</v>
      </c>
      <c r="H11" s="27">
        <v>53300</v>
      </c>
      <c r="I11" s="51">
        <v>0.92</v>
      </c>
      <c r="J11" s="41">
        <v>925000</v>
      </c>
      <c r="K11" s="191">
        <v>1.7500000000000002E-2</v>
      </c>
      <c r="L11" s="84">
        <f t="shared" si="0"/>
        <v>1</v>
      </c>
    </row>
    <row r="12" spans="1:12">
      <c r="A12" s="37">
        <v>8</v>
      </c>
      <c r="B12" s="260" t="s">
        <v>34</v>
      </c>
      <c r="C12" s="260"/>
      <c r="D12" s="260"/>
      <c r="E12" s="260"/>
      <c r="F12" s="25" t="s">
        <v>35</v>
      </c>
      <c r="G12" s="26" t="s">
        <v>23</v>
      </c>
      <c r="H12" s="27">
        <v>34600</v>
      </c>
      <c r="I12" s="51">
        <v>0.95</v>
      </c>
      <c r="J12" s="41">
        <v>600000</v>
      </c>
      <c r="K12" s="191">
        <v>1.4999999999999999E-2</v>
      </c>
      <c r="L12" s="84">
        <f t="shared" si="0"/>
        <v>0</v>
      </c>
    </row>
    <row r="13" spans="1:12">
      <c r="A13" s="37">
        <v>9</v>
      </c>
      <c r="B13" s="260" t="s">
        <v>36</v>
      </c>
      <c r="C13" s="260"/>
      <c r="D13" s="260"/>
      <c r="E13" s="260"/>
      <c r="F13" s="25" t="s">
        <v>37</v>
      </c>
      <c r="G13" s="26" t="s">
        <v>23</v>
      </c>
      <c r="H13" s="27">
        <v>57600</v>
      </c>
      <c r="I13" s="51">
        <v>0.97</v>
      </c>
      <c r="J13" s="41">
        <v>1000000</v>
      </c>
      <c r="K13" s="191">
        <v>2.2499999999999999E-2</v>
      </c>
      <c r="L13" s="84">
        <f t="shared" si="0"/>
        <v>1</v>
      </c>
    </row>
    <row r="14" spans="1:12">
      <c r="A14" s="37">
        <v>10</v>
      </c>
      <c r="B14" s="260" t="s">
        <v>38</v>
      </c>
      <c r="C14" s="260"/>
      <c r="D14" s="260"/>
      <c r="E14" s="260"/>
      <c r="F14" s="25" t="s">
        <v>39</v>
      </c>
      <c r="G14" s="26" t="s">
        <v>23</v>
      </c>
      <c r="H14" s="27">
        <v>29000</v>
      </c>
      <c r="I14" s="51">
        <v>0.9</v>
      </c>
      <c r="J14" s="41">
        <v>500000</v>
      </c>
      <c r="K14" s="191">
        <v>1.7500000000000002E-2</v>
      </c>
      <c r="L14" s="84">
        <f t="shared" si="0"/>
        <v>0</v>
      </c>
    </row>
    <row r="15" spans="1:12">
      <c r="A15" s="37">
        <v>11</v>
      </c>
      <c r="B15" s="260" t="s">
        <v>40</v>
      </c>
      <c r="C15" s="260"/>
      <c r="D15" s="260"/>
      <c r="E15" s="260"/>
      <c r="F15" s="25" t="s">
        <v>41</v>
      </c>
      <c r="G15" s="26" t="s">
        <v>23</v>
      </c>
      <c r="H15" s="27">
        <v>31300</v>
      </c>
      <c r="I15" s="51">
        <v>0.92</v>
      </c>
      <c r="J15" s="41">
        <v>550000</v>
      </c>
      <c r="K15" s="191">
        <v>0.02</v>
      </c>
      <c r="L15" s="84">
        <f t="shared" si="0"/>
        <v>0</v>
      </c>
    </row>
    <row r="16" spans="1:12">
      <c r="A16" s="38">
        <v>12</v>
      </c>
      <c r="B16" s="258" t="s">
        <v>42</v>
      </c>
      <c r="C16" s="258"/>
      <c r="D16" s="258"/>
      <c r="E16" s="258"/>
      <c r="F16" s="28" t="s">
        <v>43</v>
      </c>
      <c r="G16" s="29" t="s">
        <v>44</v>
      </c>
      <c r="H16" s="30">
        <v>115000</v>
      </c>
      <c r="I16" s="52">
        <v>1</v>
      </c>
      <c r="J16" s="42">
        <v>2000000</v>
      </c>
      <c r="K16" s="192">
        <v>1.4999999999999999E-2</v>
      </c>
      <c r="L16" s="84">
        <f t="shared" si="0"/>
        <v>1</v>
      </c>
    </row>
    <row r="17" spans="1:12">
      <c r="A17" s="38">
        <v>13</v>
      </c>
      <c r="B17" s="258" t="s">
        <v>45</v>
      </c>
      <c r="C17" s="258"/>
      <c r="D17" s="258"/>
      <c r="E17" s="258"/>
      <c r="F17" s="28" t="s">
        <v>46</v>
      </c>
      <c r="G17" s="29" t="s">
        <v>44</v>
      </c>
      <c r="H17" s="30">
        <v>45500</v>
      </c>
      <c r="I17" s="52">
        <v>0.97</v>
      </c>
      <c r="J17" s="42">
        <v>800000</v>
      </c>
      <c r="K17" s="192">
        <v>1.4999999999999999E-2</v>
      </c>
      <c r="L17" s="84">
        <f t="shared" si="0"/>
        <v>0</v>
      </c>
    </row>
    <row r="18" spans="1:12">
      <c r="A18" s="38">
        <v>14</v>
      </c>
      <c r="B18" s="258" t="s">
        <v>47</v>
      </c>
      <c r="C18" s="258"/>
      <c r="D18" s="258"/>
      <c r="E18" s="258"/>
      <c r="F18" s="28" t="s">
        <v>48</v>
      </c>
      <c r="G18" s="29" t="s">
        <v>44</v>
      </c>
      <c r="H18" s="30">
        <v>45200</v>
      </c>
      <c r="I18" s="52">
        <v>0.98</v>
      </c>
      <c r="J18" s="42">
        <v>800000</v>
      </c>
      <c r="K18" s="192">
        <v>0.02</v>
      </c>
      <c r="L18" s="84">
        <f t="shared" si="0"/>
        <v>0</v>
      </c>
    </row>
    <row r="19" spans="1:12">
      <c r="A19" s="38">
        <v>15</v>
      </c>
      <c r="B19" s="258" t="s">
        <v>49</v>
      </c>
      <c r="C19" s="258"/>
      <c r="D19" s="258"/>
      <c r="E19" s="258"/>
      <c r="F19" s="28" t="s">
        <v>50</v>
      </c>
      <c r="G19" s="29" t="s">
        <v>44</v>
      </c>
      <c r="H19" s="30">
        <v>45000</v>
      </c>
      <c r="I19" s="52">
        <v>0.93</v>
      </c>
      <c r="J19" s="42">
        <v>800000</v>
      </c>
      <c r="K19" s="192">
        <v>0.02</v>
      </c>
      <c r="L19" s="84">
        <f t="shared" si="0"/>
        <v>0</v>
      </c>
    </row>
    <row r="20" spans="1:12">
      <c r="A20" s="38">
        <v>16</v>
      </c>
      <c r="B20" s="258" t="s">
        <v>51</v>
      </c>
      <c r="C20" s="258"/>
      <c r="D20" s="258"/>
      <c r="E20" s="258"/>
      <c r="F20" s="28" t="s">
        <v>52</v>
      </c>
      <c r="G20" s="29" t="s">
        <v>44</v>
      </c>
      <c r="H20" s="30">
        <v>65000</v>
      </c>
      <c r="I20" s="52">
        <v>0.97</v>
      </c>
      <c r="J20" s="42">
        <v>1150000</v>
      </c>
      <c r="K20" s="192">
        <v>1.4999999999999999E-2</v>
      </c>
      <c r="L20" s="84">
        <f t="shared" si="0"/>
        <v>1</v>
      </c>
    </row>
    <row r="21" spans="1:12">
      <c r="A21" s="38">
        <v>17</v>
      </c>
      <c r="B21" s="258" t="s">
        <v>53</v>
      </c>
      <c r="C21" s="258"/>
      <c r="D21" s="258"/>
      <c r="E21" s="258"/>
      <c r="F21" s="28" t="s">
        <v>54</v>
      </c>
      <c r="G21" s="29" t="s">
        <v>44</v>
      </c>
      <c r="H21" s="30">
        <v>65000</v>
      </c>
      <c r="I21" s="52">
        <v>0.92</v>
      </c>
      <c r="J21" s="42">
        <v>800000</v>
      </c>
      <c r="K21" s="192">
        <v>1.2500000000000001E-2</v>
      </c>
      <c r="L21" s="84">
        <f t="shared" si="0"/>
        <v>1</v>
      </c>
    </row>
    <row r="22" spans="1:12">
      <c r="A22" s="39">
        <v>18</v>
      </c>
      <c r="B22" s="259" t="s">
        <v>55</v>
      </c>
      <c r="C22" s="259"/>
      <c r="D22" s="259"/>
      <c r="E22" s="259"/>
      <c r="F22" s="31" t="s">
        <v>56</v>
      </c>
      <c r="G22" s="32" t="s">
        <v>57</v>
      </c>
      <c r="H22" s="33">
        <v>50000</v>
      </c>
      <c r="I22" s="53">
        <v>0.94</v>
      </c>
      <c r="J22" s="43">
        <v>900000</v>
      </c>
      <c r="K22" s="193">
        <v>1.7500000000000002E-2</v>
      </c>
      <c r="L22" s="84">
        <f t="shared" si="0"/>
        <v>0</v>
      </c>
    </row>
    <row r="23" spans="1:12">
      <c r="A23" s="39">
        <v>19</v>
      </c>
      <c r="B23" s="259" t="s">
        <v>58</v>
      </c>
      <c r="C23" s="259"/>
      <c r="D23" s="259"/>
      <c r="E23" s="259"/>
      <c r="F23" s="31" t="s">
        <v>59</v>
      </c>
      <c r="G23" s="32" t="s">
        <v>57</v>
      </c>
      <c r="H23" s="33">
        <v>50100</v>
      </c>
      <c r="I23" s="53">
        <v>0.95</v>
      </c>
      <c r="J23" s="43">
        <v>900000</v>
      </c>
      <c r="K23" s="193">
        <v>1.7500000000000002E-2</v>
      </c>
      <c r="L23" s="84">
        <f t="shared" si="0"/>
        <v>1</v>
      </c>
    </row>
    <row r="24" spans="1:12">
      <c r="A24" s="40">
        <v>20</v>
      </c>
      <c r="B24" s="259" t="s">
        <v>60</v>
      </c>
      <c r="C24" s="259"/>
      <c r="D24" s="259"/>
      <c r="E24" s="259"/>
      <c r="F24" s="31" t="s">
        <v>59</v>
      </c>
      <c r="G24" s="32" t="s">
        <v>57</v>
      </c>
      <c r="H24" s="33">
        <v>64600</v>
      </c>
      <c r="I24" s="53">
        <v>1</v>
      </c>
      <c r="J24" s="43">
        <v>1150000</v>
      </c>
      <c r="K24" s="193">
        <v>1.7500000000000002E-2</v>
      </c>
      <c r="L24" s="84">
        <f t="shared" si="0"/>
        <v>1</v>
      </c>
    </row>
    <row r="26" spans="1:12">
      <c r="A26" s="55" t="s">
        <v>61</v>
      </c>
      <c r="B26" s="56"/>
      <c r="C26" s="56"/>
      <c r="D26" s="56"/>
      <c r="E26" s="57"/>
      <c r="F26" s="58">
        <v>6</v>
      </c>
    </row>
    <row r="27" spans="1:12">
      <c r="A27" s="55" t="s">
        <v>62</v>
      </c>
      <c r="B27" s="56"/>
      <c r="C27" s="56"/>
      <c r="D27" s="56"/>
      <c r="E27" s="57"/>
      <c r="F27" s="58">
        <v>1</v>
      </c>
      <c r="H27"/>
    </row>
    <row r="28" spans="1:12">
      <c r="A28" s="55" t="s">
        <v>63</v>
      </c>
      <c r="B28" s="56"/>
      <c r="C28" s="56"/>
      <c r="D28" s="56"/>
      <c r="E28" s="57"/>
      <c r="F28" s="58">
        <v>5</v>
      </c>
      <c r="H28"/>
    </row>
    <row r="29" spans="1:12">
      <c r="A29" s="55" t="s">
        <v>64</v>
      </c>
      <c r="B29" s="56"/>
      <c r="C29" s="56"/>
      <c r="D29" s="56"/>
      <c r="E29" s="57"/>
      <c r="F29" s="58">
        <v>2</v>
      </c>
      <c r="H29"/>
    </row>
    <row r="30" spans="1:12">
      <c r="A30"/>
      <c r="B30"/>
      <c r="C30"/>
      <c r="D30"/>
      <c r="E30"/>
      <c r="F30"/>
      <c r="H30"/>
      <c r="I30"/>
    </row>
    <row r="31" spans="1:12">
      <c r="A31" s="44" t="s">
        <v>65</v>
      </c>
      <c r="B31" s="45"/>
      <c r="C31" s="45"/>
      <c r="D31" s="45"/>
      <c r="E31" s="66" t="s">
        <v>23</v>
      </c>
      <c r="F31" s="50">
        <v>175</v>
      </c>
      <c r="H31"/>
      <c r="I31"/>
    </row>
    <row r="32" spans="1:12">
      <c r="A32" s="46" t="s">
        <v>66</v>
      </c>
      <c r="B32" s="47"/>
      <c r="C32" s="47"/>
      <c r="D32" s="47"/>
      <c r="E32" s="67" t="s">
        <v>44</v>
      </c>
      <c r="F32" s="50">
        <v>135</v>
      </c>
      <c r="H32"/>
      <c r="I32"/>
    </row>
    <row r="33" spans="1:11">
      <c r="A33" s="48" t="s">
        <v>66</v>
      </c>
      <c r="B33" s="49"/>
      <c r="C33" s="49"/>
      <c r="D33" s="49"/>
      <c r="E33" s="68" t="s">
        <v>57</v>
      </c>
      <c r="F33" s="50">
        <v>140</v>
      </c>
      <c r="H33"/>
      <c r="I33"/>
    </row>
    <row r="34" spans="1:11">
      <c r="C34"/>
      <c r="D34"/>
      <c r="E34"/>
      <c r="F34"/>
      <c r="G34"/>
      <c r="H34"/>
      <c r="I34" s="54"/>
    </row>
    <row r="35" spans="1:11">
      <c r="A35" s="60" t="s">
        <v>67</v>
      </c>
      <c r="B35" s="60" t="s">
        <v>68</v>
      </c>
      <c r="C35"/>
      <c r="D35"/>
      <c r="E35"/>
      <c r="F35"/>
      <c r="G35"/>
      <c r="H35"/>
      <c r="I35"/>
    </row>
    <row r="36" spans="1:11">
      <c r="A36" s="61" t="s">
        <v>69</v>
      </c>
      <c r="B36" s="59">
        <v>22.5</v>
      </c>
      <c r="G36"/>
      <c r="I36"/>
    </row>
    <row r="37" spans="1:11">
      <c r="A37" s="61" t="s">
        <v>70</v>
      </c>
      <c r="B37" s="59">
        <f>B36-2.5</f>
        <v>20</v>
      </c>
      <c r="G37"/>
      <c r="H37"/>
      <c r="I37"/>
    </row>
    <row r="38" spans="1:11">
      <c r="A38" s="61" t="s">
        <v>71</v>
      </c>
      <c r="B38" s="59">
        <f t="shared" ref="B38:B45" si="1">B37-2.5</f>
        <v>17.5</v>
      </c>
      <c r="G38"/>
      <c r="H38"/>
      <c r="I38"/>
    </row>
    <row r="39" spans="1:11">
      <c r="A39" s="61" t="s">
        <v>72</v>
      </c>
      <c r="B39" s="59">
        <f t="shared" si="1"/>
        <v>15</v>
      </c>
      <c r="D39" s="36"/>
      <c r="E39" s="36"/>
      <c r="F39" s="36"/>
      <c r="G39"/>
      <c r="H39"/>
      <c r="I39"/>
    </row>
    <row r="40" spans="1:11">
      <c r="A40" s="62" t="s">
        <v>73</v>
      </c>
      <c r="B40" s="59">
        <f t="shared" si="1"/>
        <v>12.5</v>
      </c>
      <c r="G40"/>
      <c r="H40"/>
      <c r="I40"/>
    </row>
    <row r="41" spans="1:11">
      <c r="A41" s="62" t="s">
        <v>74</v>
      </c>
      <c r="B41" s="59">
        <f t="shared" si="1"/>
        <v>10</v>
      </c>
    </row>
    <row r="42" spans="1:11">
      <c r="A42" s="62" t="s">
        <v>75</v>
      </c>
      <c r="B42" s="59">
        <f t="shared" si="1"/>
        <v>7.5</v>
      </c>
    </row>
    <row r="43" spans="1:11">
      <c r="A43" s="62" t="s">
        <v>76</v>
      </c>
      <c r="B43" s="59">
        <f t="shared" si="1"/>
        <v>5</v>
      </c>
    </row>
    <row r="44" spans="1:11">
      <c r="A44" s="62" t="s">
        <v>77</v>
      </c>
      <c r="B44" s="59">
        <f t="shared" si="1"/>
        <v>2.5</v>
      </c>
      <c r="G44" s="24"/>
      <c r="H44" s="24"/>
      <c r="I44" s="24"/>
      <c r="J44" s="24"/>
      <c r="K44" s="24"/>
    </row>
    <row r="45" spans="1:11">
      <c r="A45" s="62" t="s">
        <v>78</v>
      </c>
      <c r="B45" s="59">
        <f t="shared" si="1"/>
        <v>0</v>
      </c>
    </row>
    <row r="76" spans="1:9">
      <c r="A76"/>
      <c r="B76"/>
      <c r="C76"/>
      <c r="D76"/>
      <c r="E76"/>
      <c r="F76"/>
      <c r="G76"/>
      <c r="H76"/>
      <c r="I76"/>
    </row>
  </sheetData>
  <mergeCells count="22">
    <mergeCell ref="A1:K2"/>
    <mergeCell ref="B14:E14"/>
    <mergeCell ref="B4:E4"/>
    <mergeCell ref="B5:E5"/>
    <mergeCell ref="B6:E6"/>
    <mergeCell ref="B7:E7"/>
    <mergeCell ref="B8:E8"/>
    <mergeCell ref="B9:E9"/>
    <mergeCell ref="B10:E10"/>
    <mergeCell ref="B11:E11"/>
    <mergeCell ref="B12:E12"/>
    <mergeCell ref="B13:E13"/>
    <mergeCell ref="B21:E21"/>
    <mergeCell ref="B22:E22"/>
    <mergeCell ref="B23:E23"/>
    <mergeCell ref="B24:E24"/>
    <mergeCell ref="B15:E15"/>
    <mergeCell ref="B16:E16"/>
    <mergeCell ref="B17:E17"/>
    <mergeCell ref="B18:E18"/>
    <mergeCell ref="B19:E19"/>
    <mergeCell ref="B20:E2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26B7E-5411-459B-8851-7AD43F124E55}">
  <dimension ref="A1:M41"/>
  <sheetViews>
    <sheetView topLeftCell="A24" workbookViewId="0">
      <selection activeCell="H21" sqref="H21:M41"/>
    </sheetView>
  </sheetViews>
  <sheetFormatPr baseColWidth="10" defaultColWidth="11.3984375" defaultRowHeight="14.25"/>
  <sheetData>
    <row r="1" spans="1:13">
      <c r="E1" s="270" t="s">
        <v>79</v>
      </c>
      <c r="F1" s="270"/>
      <c r="G1" s="270"/>
      <c r="H1" s="270"/>
      <c r="I1" s="270"/>
    </row>
    <row r="2" spans="1:13">
      <c r="E2" s="270"/>
      <c r="F2" s="270"/>
      <c r="G2" s="270"/>
      <c r="H2" s="270"/>
      <c r="I2" s="270"/>
    </row>
    <row r="3" spans="1:13">
      <c r="A3" s="271" t="s">
        <v>80</v>
      </c>
      <c r="B3" s="271"/>
      <c r="C3" s="271"/>
      <c r="D3" s="271"/>
      <c r="E3" s="271"/>
      <c r="F3" s="271"/>
      <c r="H3" s="271" t="s">
        <v>81</v>
      </c>
      <c r="I3" s="271"/>
      <c r="J3" s="271"/>
      <c r="K3" s="271"/>
      <c r="L3" s="271"/>
      <c r="M3" s="271"/>
    </row>
    <row r="4" spans="1:13">
      <c r="A4" s="271"/>
      <c r="B4" s="271"/>
      <c r="C4" s="271"/>
      <c r="D4" s="271"/>
      <c r="E4" s="271"/>
      <c r="F4" s="271"/>
      <c r="H4" s="271"/>
      <c r="I4" s="271"/>
      <c r="J4" s="271"/>
      <c r="K4" s="271"/>
      <c r="L4" s="271"/>
      <c r="M4" s="271"/>
    </row>
    <row r="5" spans="1:13" ht="14.25" customHeight="1">
      <c r="A5" s="269" t="s">
        <v>82</v>
      </c>
      <c r="B5" s="269"/>
      <c r="C5" s="269"/>
      <c r="D5" s="269"/>
      <c r="E5" s="269"/>
      <c r="F5" s="269"/>
      <c r="H5" s="269" t="s">
        <v>83</v>
      </c>
      <c r="I5" s="269"/>
      <c r="J5" s="269"/>
      <c r="K5" s="269"/>
      <c r="L5" s="269"/>
      <c r="M5" s="269"/>
    </row>
    <row r="6" spans="1:13">
      <c r="A6" s="269"/>
      <c r="B6" s="269"/>
      <c r="C6" s="269"/>
      <c r="D6" s="269"/>
      <c r="E6" s="269"/>
      <c r="F6" s="269"/>
      <c r="H6" s="269"/>
      <c r="I6" s="269"/>
      <c r="J6" s="269"/>
      <c r="K6" s="269"/>
      <c r="L6" s="269"/>
      <c r="M6" s="269"/>
    </row>
    <row r="7" spans="1:13">
      <c r="A7" s="269"/>
      <c r="B7" s="269"/>
      <c r="C7" s="269"/>
      <c r="D7" s="269"/>
      <c r="E7" s="269"/>
      <c r="F7" s="269"/>
      <c r="H7" s="269"/>
      <c r="I7" s="269"/>
      <c r="J7" s="269"/>
      <c r="K7" s="269"/>
      <c r="L7" s="269"/>
      <c r="M7" s="269"/>
    </row>
    <row r="8" spans="1:13">
      <c r="A8" s="269"/>
      <c r="B8" s="269"/>
      <c r="C8" s="269"/>
      <c r="D8" s="269"/>
      <c r="E8" s="269"/>
      <c r="F8" s="269"/>
      <c r="H8" s="269"/>
      <c r="I8" s="269"/>
      <c r="J8" s="269"/>
      <c r="K8" s="269"/>
      <c r="L8" s="269"/>
      <c r="M8" s="269"/>
    </row>
    <row r="9" spans="1:13">
      <c r="A9" s="269"/>
      <c r="B9" s="269"/>
      <c r="C9" s="269"/>
      <c r="D9" s="269"/>
      <c r="E9" s="269"/>
      <c r="F9" s="269"/>
      <c r="H9" s="269"/>
      <c r="I9" s="269"/>
      <c r="J9" s="269"/>
      <c r="K9" s="269"/>
      <c r="L9" s="269"/>
      <c r="M9" s="269"/>
    </row>
    <row r="10" spans="1:13">
      <c r="A10" s="269"/>
      <c r="B10" s="269"/>
      <c r="C10" s="269"/>
      <c r="D10" s="269"/>
      <c r="E10" s="269"/>
      <c r="F10" s="269"/>
      <c r="H10" s="269"/>
      <c r="I10" s="269"/>
      <c r="J10" s="269"/>
      <c r="K10" s="269"/>
      <c r="L10" s="269"/>
      <c r="M10" s="269"/>
    </row>
    <row r="11" spans="1:13">
      <c r="A11" s="272" t="s">
        <v>84</v>
      </c>
      <c r="B11" s="272"/>
      <c r="C11" s="272"/>
      <c r="D11" s="272"/>
      <c r="E11" s="272"/>
      <c r="F11" s="272"/>
      <c r="H11" s="272" t="s">
        <v>84</v>
      </c>
      <c r="I11" s="272"/>
      <c r="J11" s="272"/>
      <c r="K11" s="272"/>
      <c r="L11" s="272"/>
      <c r="M11" s="272"/>
    </row>
    <row r="12" spans="1:13">
      <c r="A12" s="272"/>
      <c r="B12" s="272"/>
      <c r="C12" s="272"/>
      <c r="D12" s="272"/>
      <c r="E12" s="272"/>
      <c r="F12" s="272"/>
      <c r="H12" s="272"/>
      <c r="I12" s="272"/>
      <c r="J12" s="272"/>
      <c r="K12" s="272"/>
      <c r="L12" s="272"/>
      <c r="M12" s="272"/>
    </row>
    <row r="13" spans="1:13" ht="14.25" customHeight="1">
      <c r="A13" s="269" t="s">
        <v>85</v>
      </c>
      <c r="B13" s="269"/>
      <c r="C13" s="269"/>
      <c r="D13" s="269"/>
      <c r="E13" s="269"/>
      <c r="F13" s="269"/>
      <c r="H13" s="269" t="s">
        <v>86</v>
      </c>
      <c r="I13" s="269"/>
      <c r="J13" s="269"/>
      <c r="K13" s="269"/>
      <c r="L13" s="269"/>
      <c r="M13" s="269"/>
    </row>
    <row r="14" spans="1:13">
      <c r="A14" s="269"/>
      <c r="B14" s="269"/>
      <c r="C14" s="269"/>
      <c r="D14" s="269"/>
      <c r="E14" s="269"/>
      <c r="F14" s="269"/>
      <c r="H14" s="269"/>
      <c r="I14" s="269"/>
      <c r="J14" s="269"/>
      <c r="K14" s="269"/>
      <c r="L14" s="269"/>
      <c r="M14" s="269"/>
    </row>
    <row r="15" spans="1:13">
      <c r="A15" s="269"/>
      <c r="B15" s="269"/>
      <c r="C15" s="269"/>
      <c r="D15" s="269"/>
      <c r="E15" s="269"/>
      <c r="F15" s="269"/>
      <c r="H15" s="269"/>
      <c r="I15" s="269"/>
      <c r="J15" s="269"/>
      <c r="K15" s="269"/>
      <c r="L15" s="269"/>
      <c r="M15" s="269"/>
    </row>
    <row r="16" spans="1:13">
      <c r="A16" s="269"/>
      <c r="B16" s="269"/>
      <c r="C16" s="269"/>
      <c r="D16" s="269"/>
      <c r="E16" s="269"/>
      <c r="F16" s="269"/>
      <c r="H16" s="269"/>
      <c r="I16" s="269"/>
      <c r="J16" s="269"/>
      <c r="K16" s="269"/>
      <c r="L16" s="269"/>
      <c r="M16" s="269"/>
    </row>
    <row r="17" spans="1:13">
      <c r="A17" s="269"/>
      <c r="B17" s="269"/>
      <c r="C17" s="269"/>
      <c r="D17" s="269"/>
      <c r="E17" s="269"/>
      <c r="F17" s="269"/>
      <c r="H17" s="269"/>
      <c r="I17" s="269"/>
      <c r="J17" s="269"/>
      <c r="K17" s="269"/>
      <c r="L17" s="269"/>
      <c r="M17" s="269"/>
    </row>
    <row r="18" spans="1:13">
      <c r="A18" s="269"/>
      <c r="B18" s="269"/>
      <c r="C18" s="269"/>
      <c r="D18" s="269"/>
      <c r="E18" s="269"/>
      <c r="F18" s="269"/>
      <c r="H18" s="269"/>
      <c r="I18" s="269"/>
      <c r="J18" s="269"/>
      <c r="K18" s="269"/>
      <c r="L18" s="269"/>
      <c r="M18" s="269"/>
    </row>
    <row r="19" spans="1:13">
      <c r="A19" s="268" t="s">
        <v>87</v>
      </c>
      <c r="B19" s="268"/>
      <c r="C19" s="268"/>
      <c r="D19" s="268"/>
      <c r="E19" s="268"/>
      <c r="F19" s="268"/>
      <c r="H19" s="268" t="s">
        <v>87</v>
      </c>
      <c r="I19" s="268"/>
      <c r="J19" s="268"/>
      <c r="K19" s="268"/>
      <c r="L19" s="268"/>
      <c r="M19" s="268"/>
    </row>
    <row r="20" spans="1:13">
      <c r="A20" s="268"/>
      <c r="B20" s="268"/>
      <c r="C20" s="268"/>
      <c r="D20" s="268"/>
      <c r="E20" s="268"/>
      <c r="F20" s="268"/>
      <c r="H20" s="268"/>
      <c r="I20" s="268"/>
      <c r="J20" s="268"/>
      <c r="K20" s="268"/>
      <c r="L20" s="268"/>
      <c r="M20" s="268"/>
    </row>
    <row r="21" spans="1:13" ht="14.25" customHeight="1">
      <c r="A21" s="269" t="s">
        <v>88</v>
      </c>
      <c r="B21" s="269"/>
      <c r="C21" s="269"/>
      <c r="D21" s="269"/>
      <c r="E21" s="269"/>
      <c r="F21" s="269"/>
      <c r="H21" s="269" t="s">
        <v>89</v>
      </c>
      <c r="I21" s="269"/>
      <c r="J21" s="269"/>
      <c r="K21" s="269"/>
      <c r="L21" s="269"/>
      <c r="M21" s="269"/>
    </row>
    <row r="22" spans="1:13">
      <c r="A22" s="269"/>
      <c r="B22" s="269"/>
      <c r="C22" s="269"/>
      <c r="D22" s="269"/>
      <c r="E22" s="269"/>
      <c r="F22" s="269"/>
      <c r="H22" s="269"/>
      <c r="I22" s="269"/>
      <c r="J22" s="269"/>
      <c r="K22" s="269"/>
      <c r="L22" s="269"/>
      <c r="M22" s="269"/>
    </row>
    <row r="23" spans="1:13">
      <c r="A23" s="269"/>
      <c r="B23" s="269"/>
      <c r="C23" s="269"/>
      <c r="D23" s="269"/>
      <c r="E23" s="269"/>
      <c r="F23" s="269"/>
      <c r="H23" s="269"/>
      <c r="I23" s="269"/>
      <c r="J23" s="269"/>
      <c r="K23" s="269"/>
      <c r="L23" s="269"/>
      <c r="M23" s="269"/>
    </row>
    <row r="24" spans="1:13">
      <c r="A24" s="269"/>
      <c r="B24" s="269"/>
      <c r="C24" s="269"/>
      <c r="D24" s="269"/>
      <c r="E24" s="269"/>
      <c r="F24" s="269"/>
      <c r="H24" s="269"/>
      <c r="I24" s="269"/>
      <c r="J24" s="269"/>
      <c r="K24" s="269"/>
      <c r="L24" s="269"/>
      <c r="M24" s="269"/>
    </row>
    <row r="25" spans="1:13">
      <c r="A25" s="269"/>
      <c r="B25" s="269"/>
      <c r="C25" s="269"/>
      <c r="D25" s="269"/>
      <c r="E25" s="269"/>
      <c r="F25" s="269"/>
      <c r="H25" s="269"/>
      <c r="I25" s="269"/>
      <c r="J25" s="269"/>
      <c r="K25" s="269"/>
      <c r="L25" s="269"/>
      <c r="M25" s="269"/>
    </row>
    <row r="26" spans="1:13">
      <c r="A26" s="269"/>
      <c r="B26" s="269"/>
      <c r="C26" s="269"/>
      <c r="D26" s="269"/>
      <c r="E26" s="269"/>
      <c r="F26" s="269"/>
      <c r="H26" s="269"/>
      <c r="I26" s="269"/>
      <c r="J26" s="269"/>
      <c r="K26" s="269"/>
      <c r="L26" s="269"/>
      <c r="M26" s="269"/>
    </row>
    <row r="27" spans="1:13">
      <c r="A27" s="269"/>
      <c r="B27" s="269"/>
      <c r="C27" s="269"/>
      <c r="D27" s="269"/>
      <c r="E27" s="269"/>
      <c r="F27" s="269"/>
      <c r="H27" s="269"/>
      <c r="I27" s="269"/>
      <c r="J27" s="269"/>
      <c r="K27" s="269"/>
      <c r="L27" s="269"/>
      <c r="M27" s="269"/>
    </row>
    <row r="28" spans="1:13">
      <c r="A28" s="269"/>
      <c r="B28" s="269"/>
      <c r="C28" s="269"/>
      <c r="D28" s="269"/>
      <c r="E28" s="269"/>
      <c r="F28" s="269"/>
      <c r="H28" s="269"/>
      <c r="I28" s="269"/>
      <c r="J28" s="269"/>
      <c r="K28" s="269"/>
      <c r="L28" s="269"/>
      <c r="M28" s="269"/>
    </row>
    <row r="29" spans="1:13">
      <c r="A29" s="269"/>
      <c r="B29" s="269"/>
      <c r="C29" s="269"/>
      <c r="D29" s="269"/>
      <c r="E29" s="269"/>
      <c r="F29" s="269"/>
      <c r="H29" s="269"/>
      <c r="I29" s="269"/>
      <c r="J29" s="269"/>
      <c r="K29" s="269"/>
      <c r="L29" s="269"/>
      <c r="M29" s="269"/>
    </row>
    <row r="30" spans="1:13">
      <c r="A30" s="269"/>
      <c r="B30" s="269"/>
      <c r="C30" s="269"/>
      <c r="D30" s="269"/>
      <c r="E30" s="269"/>
      <c r="F30" s="269"/>
      <c r="H30" s="269"/>
      <c r="I30" s="269"/>
      <c r="J30" s="269"/>
      <c r="K30" s="269"/>
      <c r="L30" s="269"/>
      <c r="M30" s="269"/>
    </row>
    <row r="31" spans="1:13">
      <c r="A31" s="269"/>
      <c r="B31" s="269"/>
      <c r="C31" s="269"/>
      <c r="D31" s="269"/>
      <c r="E31" s="269"/>
      <c r="F31" s="269"/>
      <c r="H31" s="269"/>
      <c r="I31" s="269"/>
      <c r="J31" s="269"/>
      <c r="K31" s="269"/>
      <c r="L31" s="269"/>
      <c r="M31" s="269"/>
    </row>
    <row r="32" spans="1:13">
      <c r="A32" s="269"/>
      <c r="B32" s="269"/>
      <c r="C32" s="269"/>
      <c r="D32" s="269"/>
      <c r="E32" s="269"/>
      <c r="F32" s="269"/>
      <c r="H32" s="269"/>
      <c r="I32" s="269"/>
      <c r="J32" s="269"/>
      <c r="K32" s="269"/>
      <c r="L32" s="269"/>
      <c r="M32" s="269"/>
    </row>
    <row r="33" spans="1:13">
      <c r="A33" s="269"/>
      <c r="B33" s="269"/>
      <c r="C33" s="269"/>
      <c r="D33" s="269"/>
      <c r="E33" s="269"/>
      <c r="F33" s="269"/>
      <c r="H33" s="269"/>
      <c r="I33" s="269"/>
      <c r="J33" s="269"/>
      <c r="K33" s="269"/>
      <c r="L33" s="269"/>
      <c r="M33" s="269"/>
    </row>
    <row r="34" spans="1:13">
      <c r="A34" s="269"/>
      <c r="B34" s="269"/>
      <c r="C34" s="269"/>
      <c r="D34" s="269"/>
      <c r="E34" s="269"/>
      <c r="F34" s="269"/>
      <c r="H34" s="269"/>
      <c r="I34" s="269"/>
      <c r="J34" s="269"/>
      <c r="K34" s="269"/>
      <c r="L34" s="269"/>
      <c r="M34" s="269"/>
    </row>
    <row r="35" spans="1:13">
      <c r="A35" s="269"/>
      <c r="B35" s="269"/>
      <c r="C35" s="269"/>
      <c r="D35" s="269"/>
      <c r="E35" s="269"/>
      <c r="F35" s="269"/>
      <c r="H35" s="269"/>
      <c r="I35" s="269"/>
      <c r="J35" s="269"/>
      <c r="K35" s="269"/>
      <c r="L35" s="269"/>
      <c r="M35" s="269"/>
    </row>
    <row r="36" spans="1:13">
      <c r="A36" s="269"/>
      <c r="B36" s="269"/>
      <c r="C36" s="269"/>
      <c r="D36" s="269"/>
      <c r="E36" s="269"/>
      <c r="F36" s="269"/>
      <c r="H36" s="269"/>
      <c r="I36" s="269"/>
      <c r="J36" s="269"/>
      <c r="K36" s="269"/>
      <c r="L36" s="269"/>
      <c r="M36" s="269"/>
    </row>
    <row r="37" spans="1:13">
      <c r="A37" s="269"/>
      <c r="B37" s="269"/>
      <c r="C37" s="269"/>
      <c r="D37" s="269"/>
      <c r="E37" s="269"/>
      <c r="F37" s="269"/>
      <c r="H37" s="269"/>
      <c r="I37" s="269"/>
      <c r="J37" s="269"/>
      <c r="K37" s="269"/>
      <c r="L37" s="269"/>
      <c r="M37" s="269"/>
    </row>
    <row r="38" spans="1:13">
      <c r="A38" s="269"/>
      <c r="B38" s="269"/>
      <c r="C38" s="269"/>
      <c r="D38" s="269"/>
      <c r="E38" s="269"/>
      <c r="F38" s="269"/>
      <c r="H38" s="269"/>
      <c r="I38" s="269"/>
      <c r="J38" s="269"/>
      <c r="K38" s="269"/>
      <c r="L38" s="269"/>
      <c r="M38" s="269"/>
    </row>
    <row r="39" spans="1:13">
      <c r="A39" s="269"/>
      <c r="B39" s="269"/>
      <c r="C39" s="269"/>
      <c r="D39" s="269"/>
      <c r="E39" s="269"/>
      <c r="F39" s="269"/>
      <c r="H39" s="269"/>
      <c r="I39" s="269"/>
      <c r="J39" s="269"/>
      <c r="K39" s="269"/>
      <c r="L39" s="269"/>
      <c r="M39" s="269"/>
    </row>
    <row r="40" spans="1:13">
      <c r="A40" s="269"/>
      <c r="B40" s="269"/>
      <c r="C40" s="269"/>
      <c r="D40" s="269"/>
      <c r="E40" s="269"/>
      <c r="F40" s="269"/>
      <c r="H40" s="269"/>
      <c r="I40" s="269"/>
      <c r="J40" s="269"/>
      <c r="K40" s="269"/>
      <c r="L40" s="269"/>
      <c r="M40" s="269"/>
    </row>
    <row r="41" spans="1:13">
      <c r="A41" s="269"/>
      <c r="B41" s="269"/>
      <c r="C41" s="269"/>
      <c r="D41" s="269"/>
      <c r="E41" s="269"/>
      <c r="F41" s="269"/>
      <c r="H41" s="269"/>
      <c r="I41" s="269"/>
      <c r="J41" s="269"/>
      <c r="K41" s="269"/>
      <c r="L41" s="269"/>
      <c r="M41" s="269"/>
    </row>
  </sheetData>
  <mergeCells count="13">
    <mergeCell ref="A19:F20"/>
    <mergeCell ref="H19:M20"/>
    <mergeCell ref="A21:F41"/>
    <mergeCell ref="H21:M41"/>
    <mergeCell ref="E1:I2"/>
    <mergeCell ref="H3:M4"/>
    <mergeCell ref="A5:F10"/>
    <mergeCell ref="H5:M10"/>
    <mergeCell ref="A11:F12"/>
    <mergeCell ref="H11:M12"/>
    <mergeCell ref="A13:F18"/>
    <mergeCell ref="H13:M18"/>
    <mergeCell ref="A3:F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59AE0-D3B8-4D8B-898D-FAF830C726E5}">
  <dimension ref="A4:V66"/>
  <sheetViews>
    <sheetView topLeftCell="A4" zoomScale="98" workbookViewId="0">
      <selection activeCell="H68" sqref="H68"/>
    </sheetView>
  </sheetViews>
  <sheetFormatPr baseColWidth="10" defaultColWidth="11.3984375" defaultRowHeight="14.25"/>
  <cols>
    <col min="2" max="2" width="13.265625" customWidth="1"/>
    <col min="3" max="3" width="12.73046875" customWidth="1"/>
    <col min="4" max="5" width="13.3984375" bestFit="1" customWidth="1"/>
    <col min="6" max="6" width="12.59765625" customWidth="1"/>
    <col min="7" max="9" width="13.3984375" bestFit="1" customWidth="1"/>
    <col min="10" max="10" width="12" customWidth="1"/>
    <col min="11" max="12" width="13.3984375" bestFit="1" customWidth="1"/>
    <col min="13" max="13" width="12.59765625" customWidth="1"/>
    <col min="14" max="16" width="13.3984375" bestFit="1" customWidth="1"/>
    <col min="17" max="17" width="12.265625" customWidth="1"/>
    <col min="18" max="20" width="13.3984375" bestFit="1" customWidth="1"/>
    <col min="21" max="21" width="12.1328125" customWidth="1"/>
  </cols>
  <sheetData>
    <row r="4" spans="1:6">
      <c r="A4" s="97" t="s">
        <v>61</v>
      </c>
      <c r="B4" s="98"/>
      <c r="C4" s="98"/>
      <c r="D4" s="98"/>
      <c r="E4" s="99"/>
      <c r="F4" s="58">
        <v>6</v>
      </c>
    </row>
    <row r="5" spans="1:6">
      <c r="A5" s="94" t="s">
        <v>62</v>
      </c>
      <c r="B5" s="95"/>
      <c r="C5" s="95"/>
      <c r="D5" s="95"/>
      <c r="E5" s="96"/>
      <c r="F5" s="58">
        <v>1</v>
      </c>
    </row>
    <row r="6" spans="1:6">
      <c r="A6" s="94" t="s">
        <v>63</v>
      </c>
      <c r="B6" s="95"/>
      <c r="C6" s="95"/>
      <c r="D6" s="95"/>
      <c r="E6" s="96"/>
      <c r="F6" s="58">
        <v>5</v>
      </c>
    </row>
    <row r="7" spans="1:6">
      <c r="A7" s="100" t="s">
        <v>64</v>
      </c>
      <c r="B7" s="101"/>
      <c r="C7" s="101"/>
      <c r="D7" s="101"/>
      <c r="E7" s="102"/>
      <c r="F7" s="58">
        <v>2</v>
      </c>
    </row>
    <row r="10" spans="1:6">
      <c r="A10" s="60" t="s">
        <v>67</v>
      </c>
      <c r="B10" s="60" t="s">
        <v>68</v>
      </c>
      <c r="C10" s="78" t="s">
        <v>90</v>
      </c>
      <c r="D10" s="78" t="s">
        <v>44</v>
      </c>
      <c r="E10" s="78" t="s">
        <v>57</v>
      </c>
    </row>
    <row r="11" spans="1:6">
      <c r="A11" s="61" t="s">
        <v>69</v>
      </c>
      <c r="B11" s="59">
        <v>22.5</v>
      </c>
      <c r="C11" s="79">
        <f>175+B11</f>
        <v>197.5</v>
      </c>
      <c r="D11" s="79">
        <f>135+B11</f>
        <v>157.5</v>
      </c>
      <c r="E11" s="79">
        <f>140+B11</f>
        <v>162.5</v>
      </c>
    </row>
    <row r="12" spans="1:6">
      <c r="A12" s="61" t="s">
        <v>70</v>
      </c>
      <c r="B12" s="59">
        <f>B11-2.5</f>
        <v>20</v>
      </c>
      <c r="C12" s="79">
        <f>175+B12</f>
        <v>195</v>
      </c>
      <c r="D12" s="79">
        <f t="shared" ref="D12:D20" si="0">135+B12</f>
        <v>155</v>
      </c>
      <c r="E12" s="79">
        <f t="shared" ref="E12:E20" si="1">140+B12</f>
        <v>160</v>
      </c>
    </row>
    <row r="13" spans="1:6">
      <c r="A13" s="61" t="s">
        <v>71</v>
      </c>
      <c r="B13" s="59">
        <f t="shared" ref="B13:B20" si="2">B12-2.5</f>
        <v>17.5</v>
      </c>
      <c r="C13" s="79">
        <f t="shared" ref="C13:C20" si="3">175+B13</f>
        <v>192.5</v>
      </c>
      <c r="D13" s="79">
        <f t="shared" si="0"/>
        <v>152.5</v>
      </c>
      <c r="E13" s="79">
        <f t="shared" si="1"/>
        <v>157.5</v>
      </c>
    </row>
    <row r="14" spans="1:6">
      <c r="A14" s="61" t="s">
        <v>72</v>
      </c>
      <c r="B14" s="59">
        <f t="shared" si="2"/>
        <v>15</v>
      </c>
      <c r="C14" s="79">
        <f t="shared" si="3"/>
        <v>190</v>
      </c>
      <c r="D14" s="79">
        <f t="shared" si="0"/>
        <v>150</v>
      </c>
      <c r="E14" s="79">
        <f t="shared" si="1"/>
        <v>155</v>
      </c>
    </row>
    <row r="15" spans="1:6">
      <c r="A15" s="62" t="s">
        <v>73</v>
      </c>
      <c r="B15" s="59">
        <f t="shared" si="2"/>
        <v>12.5</v>
      </c>
      <c r="C15" s="79">
        <f t="shared" si="3"/>
        <v>187.5</v>
      </c>
      <c r="D15" s="79">
        <f t="shared" si="0"/>
        <v>147.5</v>
      </c>
      <c r="E15" s="79">
        <f t="shared" si="1"/>
        <v>152.5</v>
      </c>
    </row>
    <row r="16" spans="1:6">
      <c r="A16" s="62" t="s">
        <v>74</v>
      </c>
      <c r="B16" s="59">
        <f t="shared" si="2"/>
        <v>10</v>
      </c>
      <c r="C16" s="79">
        <f t="shared" si="3"/>
        <v>185</v>
      </c>
      <c r="D16" s="79">
        <f t="shared" si="0"/>
        <v>145</v>
      </c>
      <c r="E16" s="79">
        <f t="shared" si="1"/>
        <v>150</v>
      </c>
    </row>
    <row r="17" spans="1:21">
      <c r="A17" s="62" t="s">
        <v>75</v>
      </c>
      <c r="B17" s="59">
        <f t="shared" si="2"/>
        <v>7.5</v>
      </c>
      <c r="C17" s="79">
        <f t="shared" si="3"/>
        <v>182.5</v>
      </c>
      <c r="D17" s="79">
        <f t="shared" si="0"/>
        <v>142.5</v>
      </c>
      <c r="E17" s="79">
        <f t="shared" si="1"/>
        <v>147.5</v>
      </c>
    </row>
    <row r="18" spans="1:21">
      <c r="A18" s="62" t="s">
        <v>76</v>
      </c>
      <c r="B18" s="59">
        <f t="shared" si="2"/>
        <v>5</v>
      </c>
      <c r="C18" s="79">
        <f t="shared" si="3"/>
        <v>180</v>
      </c>
      <c r="D18" s="79">
        <f t="shared" si="0"/>
        <v>140</v>
      </c>
      <c r="E18" s="79">
        <f t="shared" si="1"/>
        <v>145</v>
      </c>
    </row>
    <row r="19" spans="1:21">
      <c r="A19" s="62" t="s">
        <v>77</v>
      </c>
      <c r="B19" s="59">
        <f t="shared" si="2"/>
        <v>2.5</v>
      </c>
      <c r="C19" s="79">
        <f t="shared" si="3"/>
        <v>177.5</v>
      </c>
      <c r="D19" s="79">
        <f t="shared" si="0"/>
        <v>137.5</v>
      </c>
      <c r="E19" s="79">
        <f t="shared" si="1"/>
        <v>142.5</v>
      </c>
    </row>
    <row r="20" spans="1:21">
      <c r="A20" s="62" t="s">
        <v>78</v>
      </c>
      <c r="B20" s="59">
        <f t="shared" si="2"/>
        <v>0</v>
      </c>
      <c r="C20" s="79">
        <f t="shared" si="3"/>
        <v>175</v>
      </c>
      <c r="D20" s="79">
        <f t="shared" si="0"/>
        <v>135</v>
      </c>
      <c r="E20" s="79">
        <f t="shared" si="1"/>
        <v>140</v>
      </c>
    </row>
    <row r="22" spans="1:21">
      <c r="A22" s="80" t="s">
        <v>91</v>
      </c>
      <c r="B22" s="78">
        <v>1</v>
      </c>
      <c r="C22" s="78">
        <f>B22+1</f>
        <v>2</v>
      </c>
      <c r="D22" s="78">
        <f t="shared" ref="D22:U22" si="4">C22+1</f>
        <v>3</v>
      </c>
      <c r="E22" s="78">
        <f t="shared" si="4"/>
        <v>4</v>
      </c>
      <c r="F22" s="78">
        <f t="shared" si="4"/>
        <v>5</v>
      </c>
      <c r="G22" s="78">
        <f t="shared" si="4"/>
        <v>6</v>
      </c>
      <c r="H22" s="78">
        <f t="shared" si="4"/>
        <v>7</v>
      </c>
      <c r="I22" s="78">
        <f t="shared" si="4"/>
        <v>8</v>
      </c>
      <c r="J22" s="78">
        <f t="shared" si="4"/>
        <v>9</v>
      </c>
      <c r="K22" s="78">
        <f t="shared" si="4"/>
        <v>10</v>
      </c>
      <c r="L22" s="78">
        <f t="shared" si="4"/>
        <v>11</v>
      </c>
      <c r="M22" s="78">
        <f t="shared" si="4"/>
        <v>12</v>
      </c>
      <c r="N22" s="78">
        <f t="shared" si="4"/>
        <v>13</v>
      </c>
      <c r="O22" s="78">
        <f t="shared" si="4"/>
        <v>14</v>
      </c>
      <c r="P22" s="78">
        <f t="shared" si="4"/>
        <v>15</v>
      </c>
      <c r="Q22" s="78">
        <f t="shared" si="4"/>
        <v>16</v>
      </c>
      <c r="R22" s="78">
        <f t="shared" si="4"/>
        <v>17</v>
      </c>
      <c r="S22" s="78">
        <f t="shared" si="4"/>
        <v>18</v>
      </c>
      <c r="T22" s="78">
        <f t="shared" si="4"/>
        <v>19</v>
      </c>
      <c r="U22" s="78">
        <f t="shared" si="4"/>
        <v>20</v>
      </c>
    </row>
    <row r="23" spans="1:21">
      <c r="A23" s="80" t="s">
        <v>92</v>
      </c>
      <c r="B23" s="81">
        <v>85000</v>
      </c>
      <c r="C23" s="81">
        <v>70500</v>
      </c>
      <c r="D23" s="81">
        <v>33600</v>
      </c>
      <c r="E23" s="81">
        <v>40500</v>
      </c>
      <c r="F23" s="81">
        <v>105000</v>
      </c>
      <c r="G23" s="81">
        <v>42300</v>
      </c>
      <c r="H23" s="81">
        <v>53300</v>
      </c>
      <c r="I23" s="81">
        <v>34600</v>
      </c>
      <c r="J23" s="81">
        <v>57600</v>
      </c>
      <c r="K23" s="81">
        <v>29000</v>
      </c>
      <c r="L23" s="81">
        <v>31300</v>
      </c>
      <c r="M23" s="81">
        <v>115000</v>
      </c>
      <c r="N23" s="81">
        <v>45500</v>
      </c>
      <c r="O23" s="81">
        <v>45200</v>
      </c>
      <c r="P23" s="81">
        <v>45000</v>
      </c>
      <c r="Q23" s="81">
        <v>65000</v>
      </c>
      <c r="R23" s="81">
        <v>65000</v>
      </c>
      <c r="S23" s="81">
        <v>50000</v>
      </c>
      <c r="T23" s="81">
        <v>50100</v>
      </c>
      <c r="U23" s="81">
        <v>64600</v>
      </c>
    </row>
    <row r="24" spans="1:21">
      <c r="A24" s="80" t="s">
        <v>93</v>
      </c>
      <c r="B24" s="82">
        <v>1</v>
      </c>
      <c r="C24" s="82">
        <v>0.95</v>
      </c>
      <c r="D24" s="82">
        <v>0.91</v>
      </c>
      <c r="E24" s="82">
        <v>0.92</v>
      </c>
      <c r="F24" s="82">
        <v>1</v>
      </c>
      <c r="G24" s="82">
        <v>0.96</v>
      </c>
      <c r="H24" s="82">
        <v>0.92</v>
      </c>
      <c r="I24" s="82">
        <v>0.95</v>
      </c>
      <c r="J24" s="82">
        <v>0.97</v>
      </c>
      <c r="K24" s="82">
        <v>0.9</v>
      </c>
      <c r="L24" s="82">
        <v>0.92</v>
      </c>
      <c r="M24" s="82">
        <v>1</v>
      </c>
      <c r="N24" s="82">
        <v>0.97</v>
      </c>
      <c r="O24" s="82">
        <v>0.98</v>
      </c>
      <c r="P24" s="82">
        <v>0.93</v>
      </c>
      <c r="Q24" s="82">
        <v>0.97</v>
      </c>
      <c r="R24" s="82">
        <v>0.92</v>
      </c>
      <c r="S24" s="82">
        <v>0.94</v>
      </c>
      <c r="T24" s="82">
        <v>0.95</v>
      </c>
      <c r="U24" s="82">
        <v>1</v>
      </c>
    </row>
    <row r="25" spans="1:21">
      <c r="A25" s="80" t="s">
        <v>94</v>
      </c>
      <c r="B25">
        <f>+B23*B24</f>
        <v>85000</v>
      </c>
      <c r="C25">
        <f t="shared" ref="C25:U25" si="5">+C23*C24</f>
        <v>66975</v>
      </c>
      <c r="D25">
        <f t="shared" si="5"/>
        <v>30576</v>
      </c>
      <c r="E25">
        <f t="shared" si="5"/>
        <v>37260</v>
      </c>
      <c r="F25">
        <f t="shared" si="5"/>
        <v>105000</v>
      </c>
      <c r="G25">
        <f t="shared" si="5"/>
        <v>40608</v>
      </c>
      <c r="H25">
        <f t="shared" si="5"/>
        <v>49036</v>
      </c>
      <c r="I25">
        <f t="shared" si="5"/>
        <v>32870</v>
      </c>
      <c r="J25">
        <f t="shared" si="5"/>
        <v>55872</v>
      </c>
      <c r="K25">
        <f t="shared" si="5"/>
        <v>26100</v>
      </c>
      <c r="L25">
        <f t="shared" si="5"/>
        <v>28796</v>
      </c>
      <c r="M25">
        <f t="shared" si="5"/>
        <v>115000</v>
      </c>
      <c r="N25">
        <f t="shared" si="5"/>
        <v>44135</v>
      </c>
      <c r="O25">
        <f t="shared" si="5"/>
        <v>44296</v>
      </c>
      <c r="P25">
        <f t="shared" si="5"/>
        <v>41850</v>
      </c>
      <c r="Q25">
        <f t="shared" si="5"/>
        <v>63050</v>
      </c>
      <c r="R25">
        <f t="shared" si="5"/>
        <v>59800</v>
      </c>
      <c r="S25">
        <f t="shared" si="5"/>
        <v>47000</v>
      </c>
      <c r="T25">
        <f t="shared" si="5"/>
        <v>47595</v>
      </c>
      <c r="U25">
        <f t="shared" si="5"/>
        <v>64600</v>
      </c>
    </row>
    <row r="27" spans="1:21">
      <c r="A27" s="80" t="s">
        <v>95</v>
      </c>
      <c r="B27" s="83">
        <v>1400000</v>
      </c>
      <c r="C27" s="83">
        <v>1225000</v>
      </c>
      <c r="D27" s="83">
        <v>600000</v>
      </c>
      <c r="E27" s="83">
        <v>700000</v>
      </c>
      <c r="F27" s="83">
        <v>1725000</v>
      </c>
      <c r="G27" s="83">
        <v>700000</v>
      </c>
      <c r="H27" s="83">
        <v>925000</v>
      </c>
      <c r="I27" s="83">
        <v>600000</v>
      </c>
      <c r="J27" s="83">
        <v>1000000</v>
      </c>
      <c r="K27" s="83">
        <v>500000</v>
      </c>
      <c r="L27" s="83">
        <v>550000</v>
      </c>
      <c r="M27" s="83">
        <v>2000000</v>
      </c>
      <c r="N27" s="83">
        <v>800000</v>
      </c>
      <c r="O27" s="83">
        <v>800000</v>
      </c>
      <c r="P27" s="83">
        <v>800000</v>
      </c>
      <c r="Q27" s="83">
        <v>1150000</v>
      </c>
      <c r="R27" s="83">
        <v>800000</v>
      </c>
      <c r="S27" s="83">
        <v>900000</v>
      </c>
      <c r="T27" s="83">
        <v>900000</v>
      </c>
      <c r="U27" s="83">
        <v>1150000</v>
      </c>
    </row>
    <row r="30" spans="1:21">
      <c r="B30" s="273" t="s">
        <v>96</v>
      </c>
      <c r="C30" s="273"/>
      <c r="D30" s="273"/>
      <c r="E30" s="273"/>
      <c r="F30" s="273"/>
      <c r="G30" s="273"/>
      <c r="H30" s="273"/>
      <c r="I30" s="273"/>
      <c r="J30" s="273"/>
      <c r="K30" s="273"/>
      <c r="L30" s="273"/>
      <c r="M30" s="273"/>
      <c r="N30" s="273"/>
      <c r="O30" s="273"/>
      <c r="P30" s="273"/>
      <c r="Q30" s="273"/>
      <c r="R30" s="273"/>
      <c r="S30" s="273"/>
      <c r="T30" s="273"/>
      <c r="U30" s="273"/>
    </row>
    <row r="31" spans="1:21">
      <c r="A31" s="80" t="s">
        <v>97</v>
      </c>
      <c r="B31" s="78">
        <v>1</v>
      </c>
      <c r="C31" s="78">
        <f>B31+1</f>
        <v>2</v>
      </c>
      <c r="D31" s="78">
        <f t="shared" ref="D31:U31" si="6">C31+1</f>
        <v>3</v>
      </c>
      <c r="E31" s="78">
        <f t="shared" si="6"/>
        <v>4</v>
      </c>
      <c r="F31" s="78">
        <f t="shared" si="6"/>
        <v>5</v>
      </c>
      <c r="G31" s="78">
        <f t="shared" si="6"/>
        <v>6</v>
      </c>
      <c r="H31" s="78">
        <f t="shared" si="6"/>
        <v>7</v>
      </c>
      <c r="I31" s="78">
        <f t="shared" si="6"/>
        <v>8</v>
      </c>
      <c r="J31" s="78">
        <f t="shared" si="6"/>
        <v>9</v>
      </c>
      <c r="K31" s="78">
        <f t="shared" si="6"/>
        <v>10</v>
      </c>
      <c r="L31" s="78">
        <f t="shared" si="6"/>
        <v>11</v>
      </c>
      <c r="M31" s="78">
        <f t="shared" si="6"/>
        <v>12</v>
      </c>
      <c r="N31" s="78">
        <f t="shared" si="6"/>
        <v>13</v>
      </c>
      <c r="O31" s="78">
        <f t="shared" si="6"/>
        <v>14</v>
      </c>
      <c r="P31" s="78">
        <f t="shared" si="6"/>
        <v>15</v>
      </c>
      <c r="Q31" s="78">
        <f t="shared" si="6"/>
        <v>16</v>
      </c>
      <c r="R31" s="78">
        <f t="shared" si="6"/>
        <v>17</v>
      </c>
      <c r="S31" s="78">
        <f t="shared" si="6"/>
        <v>18</v>
      </c>
      <c r="T31" s="78">
        <f t="shared" si="6"/>
        <v>19</v>
      </c>
      <c r="U31" s="78">
        <f t="shared" si="6"/>
        <v>20</v>
      </c>
    </row>
    <row r="32" spans="1:21">
      <c r="A32" s="61" t="s">
        <v>69</v>
      </c>
      <c r="B32" s="120">
        <f>($C11*B$25)-B$27</f>
        <v>15387500</v>
      </c>
      <c r="C32" s="120">
        <f>($C11*C$25)-C$27</f>
        <v>12002562.5</v>
      </c>
      <c r="D32" s="120">
        <f>($C11*D$25)-D$27</f>
        <v>5438760</v>
      </c>
      <c r="E32" s="120">
        <f t="shared" ref="E32:L32" si="7">($C11*E$25)-E$27</f>
        <v>6658850</v>
      </c>
      <c r="F32" s="120">
        <f t="shared" si="7"/>
        <v>19012500</v>
      </c>
      <c r="G32" s="120">
        <f t="shared" si="7"/>
        <v>7320080</v>
      </c>
      <c r="H32" s="120">
        <f t="shared" si="7"/>
        <v>8759610</v>
      </c>
      <c r="I32" s="120">
        <f t="shared" si="7"/>
        <v>5891825</v>
      </c>
      <c r="J32" s="120">
        <f t="shared" si="7"/>
        <v>10034720</v>
      </c>
      <c r="K32" s="120">
        <f t="shared" si="7"/>
        <v>4654750</v>
      </c>
      <c r="L32" s="120">
        <f t="shared" si="7"/>
        <v>5137210</v>
      </c>
      <c r="M32" s="120">
        <f>($D11*M$25)-M$27</f>
        <v>16112500</v>
      </c>
      <c r="N32" s="120">
        <f t="shared" ref="N32:Q32" si="8">($D11*N$25)-N$27</f>
        <v>6151262.5</v>
      </c>
      <c r="O32" s="120">
        <f t="shared" si="8"/>
        <v>6176620</v>
      </c>
      <c r="P32" s="120">
        <f t="shared" si="8"/>
        <v>5791375</v>
      </c>
      <c r="Q32" s="120">
        <f t="shared" si="8"/>
        <v>8780375</v>
      </c>
      <c r="R32" s="120">
        <f>($D11*R$25)-R$27</f>
        <v>8618500</v>
      </c>
      <c r="S32" s="120">
        <f>($E11*S$25)-S$27</f>
        <v>6737500</v>
      </c>
      <c r="T32" s="120">
        <f t="shared" ref="T32:U32" si="9">($E11*T$25)-T$27</f>
        <v>6834187.5</v>
      </c>
      <c r="U32" s="120">
        <f t="shared" si="9"/>
        <v>9347500</v>
      </c>
    </row>
    <row r="33" spans="1:22">
      <c r="A33" s="61" t="s">
        <v>70</v>
      </c>
      <c r="B33" s="120">
        <f t="shared" ref="B33:L41" si="10">($C12*B$25)-B$27</f>
        <v>15175000</v>
      </c>
      <c r="C33" s="120">
        <f t="shared" si="10"/>
        <v>11835125</v>
      </c>
      <c r="D33" s="120">
        <f t="shared" si="10"/>
        <v>5362320</v>
      </c>
      <c r="E33" s="120">
        <f t="shared" si="10"/>
        <v>6565700</v>
      </c>
      <c r="F33" s="120">
        <f t="shared" si="10"/>
        <v>18750000</v>
      </c>
      <c r="G33" s="120">
        <f t="shared" si="10"/>
        <v>7218560</v>
      </c>
      <c r="H33" s="120">
        <f t="shared" si="10"/>
        <v>8637020</v>
      </c>
      <c r="I33" s="120">
        <f t="shared" si="10"/>
        <v>5809650</v>
      </c>
      <c r="J33" s="120">
        <f>($C12*J$25)-J$27</f>
        <v>9895040</v>
      </c>
      <c r="K33" s="120">
        <f t="shared" si="10"/>
        <v>4589500</v>
      </c>
      <c r="L33" s="120">
        <f t="shared" si="10"/>
        <v>5065220</v>
      </c>
      <c r="M33" s="120">
        <f>($D12*M$25)-M$27</f>
        <v>15825000</v>
      </c>
      <c r="N33" s="120">
        <f t="shared" ref="M33:R41" si="11">($D12*N$25)-N$27</f>
        <v>6040925</v>
      </c>
      <c r="O33" s="120">
        <f t="shared" si="11"/>
        <v>6065880</v>
      </c>
      <c r="P33" s="120">
        <f t="shared" si="11"/>
        <v>5686750</v>
      </c>
      <c r="Q33" s="120">
        <f t="shared" si="11"/>
        <v>8622750</v>
      </c>
      <c r="R33" s="120">
        <f t="shared" si="11"/>
        <v>8469000</v>
      </c>
      <c r="S33" s="120">
        <f t="shared" ref="S33:U41" si="12">($E12*S$25)-S$27</f>
        <v>6620000</v>
      </c>
      <c r="T33" s="120">
        <f t="shared" si="12"/>
        <v>6715200</v>
      </c>
      <c r="U33" s="120">
        <f t="shared" si="12"/>
        <v>9186000</v>
      </c>
    </row>
    <row r="34" spans="1:22">
      <c r="A34" s="61" t="s">
        <v>71</v>
      </c>
      <c r="B34" s="120">
        <f>($C13*B$25)-B$27</f>
        <v>14962500</v>
      </c>
      <c r="C34" s="120">
        <f t="shared" ref="C34:L41" si="13">($C13*C$25)-C$27</f>
        <v>11667687.5</v>
      </c>
      <c r="D34" s="120">
        <f t="shared" si="13"/>
        <v>5285880</v>
      </c>
      <c r="E34" s="120">
        <f t="shared" si="13"/>
        <v>6472550</v>
      </c>
      <c r="F34" s="120">
        <f t="shared" si="13"/>
        <v>18487500</v>
      </c>
      <c r="G34" s="120">
        <f t="shared" si="13"/>
        <v>7117040</v>
      </c>
      <c r="H34" s="120">
        <f t="shared" si="13"/>
        <v>8514430</v>
      </c>
      <c r="I34" s="120">
        <f t="shared" si="13"/>
        <v>5727475</v>
      </c>
      <c r="J34" s="120">
        <f t="shared" si="13"/>
        <v>9755360</v>
      </c>
      <c r="K34" s="120">
        <f t="shared" si="13"/>
        <v>4524250</v>
      </c>
      <c r="L34" s="120">
        <f t="shared" si="13"/>
        <v>4993230</v>
      </c>
      <c r="M34" s="120">
        <f t="shared" si="11"/>
        <v>15537500</v>
      </c>
      <c r="N34" s="120">
        <f t="shared" si="11"/>
        <v>5930587.5</v>
      </c>
      <c r="O34" s="120">
        <f t="shared" si="11"/>
        <v>5955140</v>
      </c>
      <c r="P34" s="120">
        <f t="shared" si="11"/>
        <v>5582125</v>
      </c>
      <c r="Q34" s="120">
        <f t="shared" si="11"/>
        <v>8465125</v>
      </c>
      <c r="R34" s="120">
        <f t="shared" si="11"/>
        <v>8319500</v>
      </c>
      <c r="S34" s="120">
        <f t="shared" si="12"/>
        <v>6502500</v>
      </c>
      <c r="T34" s="120">
        <f t="shared" si="12"/>
        <v>6596212.5</v>
      </c>
      <c r="U34" s="120">
        <f t="shared" si="12"/>
        <v>9024500</v>
      </c>
    </row>
    <row r="35" spans="1:22">
      <c r="A35" s="61" t="s">
        <v>72</v>
      </c>
      <c r="B35" s="120">
        <f t="shared" si="10"/>
        <v>14750000</v>
      </c>
      <c r="C35" s="120">
        <f t="shared" si="13"/>
        <v>11500250</v>
      </c>
      <c r="D35" s="120">
        <f t="shared" si="13"/>
        <v>5209440</v>
      </c>
      <c r="E35" s="120">
        <f t="shared" si="13"/>
        <v>6379400</v>
      </c>
      <c r="F35" s="120">
        <f t="shared" si="13"/>
        <v>18225000</v>
      </c>
      <c r="G35" s="120">
        <f t="shared" si="13"/>
        <v>7015520</v>
      </c>
      <c r="H35" s="120">
        <f t="shared" si="13"/>
        <v>8391840</v>
      </c>
      <c r="I35" s="120">
        <f t="shared" si="13"/>
        <v>5645300</v>
      </c>
      <c r="J35" s="120">
        <f t="shared" si="13"/>
        <v>9615680</v>
      </c>
      <c r="K35" s="120">
        <f t="shared" si="13"/>
        <v>4459000</v>
      </c>
      <c r="L35" s="120">
        <f t="shared" si="13"/>
        <v>4921240</v>
      </c>
      <c r="M35" s="120">
        <f t="shared" si="11"/>
        <v>15250000</v>
      </c>
      <c r="N35" s="120">
        <f t="shared" si="11"/>
        <v>5820250</v>
      </c>
      <c r="O35" s="120">
        <f t="shared" si="11"/>
        <v>5844400</v>
      </c>
      <c r="P35" s="120">
        <f t="shared" si="11"/>
        <v>5477500</v>
      </c>
      <c r="Q35" s="120">
        <f t="shared" si="11"/>
        <v>8307500</v>
      </c>
      <c r="R35" s="120">
        <f t="shared" si="11"/>
        <v>8170000</v>
      </c>
      <c r="S35" s="120">
        <f t="shared" si="12"/>
        <v>6385000</v>
      </c>
      <c r="T35" s="120">
        <f t="shared" si="12"/>
        <v>6477225</v>
      </c>
      <c r="U35" s="120">
        <f t="shared" si="12"/>
        <v>8863000</v>
      </c>
    </row>
    <row r="36" spans="1:22">
      <c r="A36" s="62" t="s">
        <v>73</v>
      </c>
      <c r="B36" s="120">
        <f t="shared" si="10"/>
        <v>14537500</v>
      </c>
      <c r="C36" s="120">
        <f t="shared" si="13"/>
        <v>11332812.5</v>
      </c>
      <c r="D36" s="120">
        <f t="shared" si="13"/>
        <v>5133000</v>
      </c>
      <c r="E36" s="120">
        <f t="shared" si="13"/>
        <v>6286250</v>
      </c>
      <c r="F36" s="120">
        <f t="shared" si="13"/>
        <v>17962500</v>
      </c>
      <c r="G36" s="120">
        <f t="shared" si="13"/>
        <v>6914000</v>
      </c>
      <c r="H36" s="120">
        <f t="shared" si="13"/>
        <v>8269250</v>
      </c>
      <c r="I36" s="120">
        <f t="shared" si="13"/>
        <v>5563125</v>
      </c>
      <c r="J36" s="120">
        <f t="shared" si="13"/>
        <v>9476000</v>
      </c>
      <c r="K36" s="120">
        <f t="shared" si="13"/>
        <v>4393750</v>
      </c>
      <c r="L36" s="120">
        <f t="shared" si="13"/>
        <v>4849250</v>
      </c>
      <c r="M36" s="120">
        <f t="shared" si="11"/>
        <v>14962500</v>
      </c>
      <c r="N36" s="120">
        <f t="shared" si="11"/>
        <v>5709912.5</v>
      </c>
      <c r="O36" s="120">
        <f t="shared" si="11"/>
        <v>5733660</v>
      </c>
      <c r="P36" s="120">
        <f t="shared" si="11"/>
        <v>5372875</v>
      </c>
      <c r="Q36" s="120">
        <f t="shared" si="11"/>
        <v>8149875</v>
      </c>
      <c r="R36" s="120">
        <f t="shared" si="11"/>
        <v>8020500</v>
      </c>
      <c r="S36" s="120">
        <f t="shared" si="12"/>
        <v>6267500</v>
      </c>
      <c r="T36" s="120">
        <f t="shared" si="12"/>
        <v>6358237.5</v>
      </c>
      <c r="U36" s="120">
        <f t="shared" si="12"/>
        <v>8701500</v>
      </c>
    </row>
    <row r="37" spans="1:22">
      <c r="A37" s="62" t="s">
        <v>74</v>
      </c>
      <c r="B37" s="120">
        <f t="shared" si="10"/>
        <v>14325000</v>
      </c>
      <c r="C37" s="120">
        <f t="shared" si="13"/>
        <v>11165375</v>
      </c>
      <c r="D37" s="120">
        <f t="shared" si="13"/>
        <v>5056560</v>
      </c>
      <c r="E37" s="120">
        <f t="shared" si="13"/>
        <v>6193100</v>
      </c>
      <c r="F37" s="120">
        <f t="shared" si="13"/>
        <v>17700000</v>
      </c>
      <c r="G37" s="120">
        <f t="shared" si="13"/>
        <v>6812480</v>
      </c>
      <c r="H37" s="120">
        <f t="shared" si="13"/>
        <v>8146660</v>
      </c>
      <c r="I37" s="120">
        <f t="shared" si="13"/>
        <v>5480950</v>
      </c>
      <c r="J37" s="120">
        <f t="shared" si="13"/>
        <v>9336320</v>
      </c>
      <c r="K37" s="120">
        <f t="shared" si="13"/>
        <v>4328500</v>
      </c>
      <c r="L37" s="120">
        <f t="shared" si="13"/>
        <v>4777260</v>
      </c>
      <c r="M37" s="120">
        <f t="shared" si="11"/>
        <v>14675000</v>
      </c>
      <c r="N37" s="120">
        <f t="shared" si="11"/>
        <v>5599575</v>
      </c>
      <c r="O37" s="120">
        <f t="shared" si="11"/>
        <v>5622920</v>
      </c>
      <c r="P37" s="120">
        <f t="shared" si="11"/>
        <v>5268250</v>
      </c>
      <c r="Q37" s="120">
        <f t="shared" si="11"/>
        <v>7992250</v>
      </c>
      <c r="R37" s="120">
        <f t="shared" si="11"/>
        <v>7871000</v>
      </c>
      <c r="S37" s="120">
        <f t="shared" si="12"/>
        <v>6150000</v>
      </c>
      <c r="T37" s="120">
        <f t="shared" si="12"/>
        <v>6239250</v>
      </c>
      <c r="U37" s="120">
        <f t="shared" si="12"/>
        <v>8540000</v>
      </c>
    </row>
    <row r="38" spans="1:22">
      <c r="A38" s="62" t="s">
        <v>75</v>
      </c>
      <c r="B38" s="120">
        <f t="shared" si="10"/>
        <v>14112500</v>
      </c>
      <c r="C38" s="120">
        <f t="shared" si="13"/>
        <v>10997937.5</v>
      </c>
      <c r="D38" s="120">
        <f t="shared" si="13"/>
        <v>4980120</v>
      </c>
      <c r="E38" s="120">
        <f t="shared" si="13"/>
        <v>6099950</v>
      </c>
      <c r="F38" s="120">
        <f t="shared" si="13"/>
        <v>17437500</v>
      </c>
      <c r="G38" s="120">
        <f t="shared" si="13"/>
        <v>6710960</v>
      </c>
      <c r="H38" s="120">
        <f t="shared" si="13"/>
        <v>8024070</v>
      </c>
      <c r="I38" s="120">
        <f t="shared" si="13"/>
        <v>5398775</v>
      </c>
      <c r="J38" s="120">
        <f t="shared" si="13"/>
        <v>9196640</v>
      </c>
      <c r="K38" s="120">
        <f t="shared" si="13"/>
        <v>4263250</v>
      </c>
      <c r="L38" s="120">
        <f t="shared" si="13"/>
        <v>4705270</v>
      </c>
      <c r="M38" s="120">
        <f t="shared" si="11"/>
        <v>14387500</v>
      </c>
      <c r="N38" s="120">
        <f t="shared" si="11"/>
        <v>5489237.5</v>
      </c>
      <c r="O38" s="120">
        <f t="shared" si="11"/>
        <v>5512180</v>
      </c>
      <c r="P38" s="120">
        <f t="shared" si="11"/>
        <v>5163625</v>
      </c>
      <c r="Q38" s="120">
        <f t="shared" si="11"/>
        <v>7834625</v>
      </c>
      <c r="R38" s="120">
        <f t="shared" si="11"/>
        <v>7721500</v>
      </c>
      <c r="S38" s="120">
        <f t="shared" si="12"/>
        <v>6032500</v>
      </c>
      <c r="T38" s="120">
        <f t="shared" si="12"/>
        <v>6120262.5</v>
      </c>
      <c r="U38" s="120">
        <f t="shared" si="12"/>
        <v>8378500</v>
      </c>
    </row>
    <row r="39" spans="1:22">
      <c r="A39" s="62" t="s">
        <v>76</v>
      </c>
      <c r="B39" s="120">
        <f t="shared" si="10"/>
        <v>13900000</v>
      </c>
      <c r="C39" s="120">
        <f t="shared" si="13"/>
        <v>10830500</v>
      </c>
      <c r="D39" s="120">
        <f t="shared" si="13"/>
        <v>4903680</v>
      </c>
      <c r="E39" s="120">
        <f t="shared" si="13"/>
        <v>6006800</v>
      </c>
      <c r="F39" s="120">
        <f t="shared" si="13"/>
        <v>17175000</v>
      </c>
      <c r="G39" s="120">
        <f t="shared" si="13"/>
        <v>6609440</v>
      </c>
      <c r="H39" s="120">
        <f t="shared" si="13"/>
        <v>7901480</v>
      </c>
      <c r="I39" s="120">
        <f t="shared" si="13"/>
        <v>5316600</v>
      </c>
      <c r="J39" s="120">
        <f t="shared" si="13"/>
        <v>9056960</v>
      </c>
      <c r="K39" s="120">
        <f t="shared" si="13"/>
        <v>4198000</v>
      </c>
      <c r="L39" s="120">
        <f t="shared" si="13"/>
        <v>4633280</v>
      </c>
      <c r="M39" s="120">
        <f t="shared" si="11"/>
        <v>14100000</v>
      </c>
      <c r="N39" s="120">
        <f t="shared" si="11"/>
        <v>5378900</v>
      </c>
      <c r="O39" s="120">
        <f t="shared" si="11"/>
        <v>5401440</v>
      </c>
      <c r="P39" s="120">
        <f t="shared" si="11"/>
        <v>5059000</v>
      </c>
      <c r="Q39" s="120">
        <f t="shared" si="11"/>
        <v>7677000</v>
      </c>
      <c r="R39" s="120">
        <f t="shared" si="11"/>
        <v>7572000</v>
      </c>
      <c r="S39" s="120">
        <f t="shared" si="12"/>
        <v>5915000</v>
      </c>
      <c r="T39" s="120">
        <f t="shared" si="12"/>
        <v>6001275</v>
      </c>
      <c r="U39" s="120">
        <f t="shared" si="12"/>
        <v>8217000</v>
      </c>
    </row>
    <row r="40" spans="1:22">
      <c r="A40" s="62" t="s">
        <v>77</v>
      </c>
      <c r="B40" s="120">
        <f t="shared" si="10"/>
        <v>13687500</v>
      </c>
      <c r="C40" s="120">
        <f t="shared" si="13"/>
        <v>10663062.5</v>
      </c>
      <c r="D40" s="120">
        <f t="shared" si="13"/>
        <v>4827240</v>
      </c>
      <c r="E40" s="120">
        <f t="shared" si="13"/>
        <v>5913650</v>
      </c>
      <c r="F40" s="120">
        <f t="shared" si="13"/>
        <v>16912500</v>
      </c>
      <c r="G40" s="120">
        <f t="shared" si="13"/>
        <v>6507920</v>
      </c>
      <c r="H40" s="120">
        <f t="shared" si="13"/>
        <v>7778890</v>
      </c>
      <c r="I40" s="120">
        <f t="shared" si="13"/>
        <v>5234425</v>
      </c>
      <c r="J40" s="120">
        <f t="shared" si="13"/>
        <v>8917280</v>
      </c>
      <c r="K40" s="120">
        <f t="shared" si="13"/>
        <v>4132750</v>
      </c>
      <c r="L40" s="120">
        <f t="shared" si="13"/>
        <v>4561290</v>
      </c>
      <c r="M40" s="120">
        <f t="shared" si="11"/>
        <v>13812500</v>
      </c>
      <c r="N40" s="120">
        <f t="shared" si="11"/>
        <v>5268562.5</v>
      </c>
      <c r="O40" s="120">
        <f t="shared" si="11"/>
        <v>5290700</v>
      </c>
      <c r="P40" s="120">
        <f t="shared" si="11"/>
        <v>4954375</v>
      </c>
      <c r="Q40" s="120">
        <f t="shared" si="11"/>
        <v>7519375</v>
      </c>
      <c r="R40" s="120">
        <f t="shared" si="11"/>
        <v>7422500</v>
      </c>
      <c r="S40" s="120">
        <f t="shared" si="12"/>
        <v>5797500</v>
      </c>
      <c r="T40" s="120">
        <f t="shared" si="12"/>
        <v>5882287.5</v>
      </c>
      <c r="U40" s="120">
        <f t="shared" si="12"/>
        <v>8055500</v>
      </c>
    </row>
    <row r="41" spans="1:22">
      <c r="A41" s="62" t="s">
        <v>78</v>
      </c>
      <c r="B41" s="120">
        <f t="shared" si="10"/>
        <v>13475000</v>
      </c>
      <c r="C41" s="120">
        <f t="shared" si="13"/>
        <v>10495625</v>
      </c>
      <c r="D41" s="120">
        <f t="shared" si="13"/>
        <v>4750800</v>
      </c>
      <c r="E41" s="120">
        <f t="shared" si="13"/>
        <v>5820500</v>
      </c>
      <c r="F41" s="120">
        <f t="shared" si="13"/>
        <v>16650000</v>
      </c>
      <c r="G41" s="120">
        <f t="shared" si="13"/>
        <v>6406400</v>
      </c>
      <c r="H41" s="120">
        <f t="shared" si="13"/>
        <v>7656300</v>
      </c>
      <c r="I41" s="120">
        <f t="shared" si="13"/>
        <v>5152250</v>
      </c>
      <c r="J41" s="120">
        <f t="shared" si="13"/>
        <v>8777600</v>
      </c>
      <c r="K41" s="120">
        <f t="shared" si="13"/>
        <v>4067500</v>
      </c>
      <c r="L41" s="120">
        <f t="shared" si="13"/>
        <v>4489300</v>
      </c>
      <c r="M41" s="120">
        <f t="shared" si="11"/>
        <v>13525000</v>
      </c>
      <c r="N41" s="120">
        <f t="shared" si="11"/>
        <v>5158225</v>
      </c>
      <c r="O41" s="120">
        <f t="shared" si="11"/>
        <v>5179960</v>
      </c>
      <c r="P41" s="120">
        <f t="shared" si="11"/>
        <v>4849750</v>
      </c>
      <c r="Q41" s="120">
        <f t="shared" si="11"/>
        <v>7361750</v>
      </c>
      <c r="R41" s="120">
        <f t="shared" si="11"/>
        <v>7273000</v>
      </c>
      <c r="S41" s="120">
        <f t="shared" si="12"/>
        <v>5680000</v>
      </c>
      <c r="T41" s="120">
        <f t="shared" si="12"/>
        <v>5763300</v>
      </c>
      <c r="U41" s="120">
        <f t="shared" si="12"/>
        <v>7894000</v>
      </c>
    </row>
    <row r="47" spans="1:22">
      <c r="A47" s="84"/>
      <c r="B47" s="274" t="s">
        <v>98</v>
      </c>
      <c r="C47" s="275"/>
      <c r="D47" s="275"/>
      <c r="E47" s="275"/>
      <c r="F47" s="275"/>
      <c r="G47" s="275"/>
      <c r="H47" s="275"/>
      <c r="I47" s="275"/>
      <c r="J47" s="275"/>
      <c r="K47" s="275"/>
      <c r="L47" s="275"/>
      <c r="M47" s="275"/>
      <c r="N47" s="275"/>
      <c r="O47" s="275"/>
      <c r="P47" s="275"/>
      <c r="Q47" s="275"/>
      <c r="R47" s="275"/>
      <c r="S47" s="275"/>
      <c r="T47" s="275"/>
      <c r="U47" s="275"/>
      <c r="V47" s="276"/>
    </row>
    <row r="48" spans="1:22">
      <c r="A48" s="85" t="s">
        <v>99</v>
      </c>
      <c r="B48" s="86">
        <v>1</v>
      </c>
      <c r="C48" s="86">
        <v>2</v>
      </c>
      <c r="D48" s="86">
        <v>3</v>
      </c>
      <c r="E48" s="86">
        <v>4</v>
      </c>
      <c r="F48" s="86">
        <v>5</v>
      </c>
      <c r="G48" s="86">
        <v>6</v>
      </c>
      <c r="H48" s="86">
        <v>7</v>
      </c>
      <c r="I48" s="86">
        <v>8</v>
      </c>
      <c r="J48" s="86">
        <v>9</v>
      </c>
      <c r="K48" s="86">
        <v>10</v>
      </c>
      <c r="L48" s="86">
        <v>11</v>
      </c>
      <c r="M48" s="86">
        <v>12</v>
      </c>
      <c r="N48" s="86">
        <v>13</v>
      </c>
      <c r="O48" s="86">
        <v>14</v>
      </c>
      <c r="P48" s="86">
        <v>15</v>
      </c>
      <c r="Q48" s="86">
        <v>16</v>
      </c>
      <c r="R48" s="86">
        <v>17</v>
      </c>
      <c r="S48" s="86">
        <v>18</v>
      </c>
      <c r="T48" s="86">
        <v>19</v>
      </c>
      <c r="U48" s="86">
        <v>20</v>
      </c>
      <c r="V48" s="87" t="s">
        <v>94</v>
      </c>
    </row>
    <row r="49" spans="1:22">
      <c r="A49" s="86" t="s">
        <v>69</v>
      </c>
      <c r="B49" s="88">
        <v>2</v>
      </c>
      <c r="C49" s="88">
        <v>0</v>
      </c>
      <c r="D49" s="88">
        <v>0</v>
      </c>
      <c r="E49" s="88">
        <v>0</v>
      </c>
      <c r="F49" s="88">
        <v>2</v>
      </c>
      <c r="G49" s="88">
        <v>0</v>
      </c>
      <c r="H49" s="88">
        <v>0</v>
      </c>
      <c r="I49" s="88">
        <v>0</v>
      </c>
      <c r="J49" s="88">
        <v>0</v>
      </c>
      <c r="K49" s="88">
        <v>0</v>
      </c>
      <c r="L49" s="88">
        <v>0</v>
      </c>
      <c r="M49" s="88">
        <v>2</v>
      </c>
      <c r="N49" s="88">
        <v>0</v>
      </c>
      <c r="O49" s="88">
        <v>0</v>
      </c>
      <c r="P49" s="88">
        <v>0</v>
      </c>
      <c r="Q49" s="88">
        <v>0</v>
      </c>
      <c r="R49" s="88">
        <v>0</v>
      </c>
      <c r="S49" s="88">
        <v>0</v>
      </c>
      <c r="T49" s="88">
        <v>0</v>
      </c>
      <c r="U49" s="88">
        <v>0</v>
      </c>
      <c r="V49" s="89">
        <f>SUM(B49:U49)</f>
        <v>6</v>
      </c>
    </row>
    <row r="50" spans="1:22">
      <c r="A50" s="86" t="s">
        <v>70</v>
      </c>
      <c r="B50" s="88">
        <v>2</v>
      </c>
      <c r="C50" s="88">
        <v>0</v>
      </c>
      <c r="D50" s="88">
        <v>0</v>
      </c>
      <c r="E50" s="88">
        <v>0</v>
      </c>
      <c r="F50" s="88">
        <v>2</v>
      </c>
      <c r="G50" s="88">
        <v>0</v>
      </c>
      <c r="H50" s="88">
        <v>0</v>
      </c>
      <c r="I50" s="88">
        <v>0</v>
      </c>
      <c r="J50" s="88">
        <v>0</v>
      </c>
      <c r="K50" s="88">
        <v>0</v>
      </c>
      <c r="L50" s="88">
        <v>0</v>
      </c>
      <c r="M50" s="88">
        <v>2</v>
      </c>
      <c r="N50" s="88">
        <v>0</v>
      </c>
      <c r="O50" s="88">
        <v>0</v>
      </c>
      <c r="P50" s="88">
        <v>0</v>
      </c>
      <c r="Q50" s="88">
        <v>0</v>
      </c>
      <c r="R50" s="88">
        <v>0</v>
      </c>
      <c r="S50" s="88">
        <v>0</v>
      </c>
      <c r="T50" s="88">
        <v>0</v>
      </c>
      <c r="U50" s="88">
        <v>0</v>
      </c>
      <c r="V50" s="89">
        <f t="shared" ref="V50:V58" si="14">SUM(B50:U50)</f>
        <v>6</v>
      </c>
    </row>
    <row r="51" spans="1:22">
      <c r="A51" s="86" t="s">
        <v>71</v>
      </c>
      <c r="B51" s="88">
        <v>1</v>
      </c>
      <c r="C51" s="88">
        <v>2</v>
      </c>
      <c r="D51" s="88">
        <v>0</v>
      </c>
      <c r="E51" s="88">
        <v>0</v>
      </c>
      <c r="F51" s="88">
        <v>1</v>
      </c>
      <c r="G51" s="88">
        <v>0</v>
      </c>
      <c r="H51" s="88">
        <v>0</v>
      </c>
      <c r="I51" s="88">
        <v>0</v>
      </c>
      <c r="J51" s="88">
        <v>0</v>
      </c>
      <c r="K51" s="88">
        <v>0</v>
      </c>
      <c r="L51" s="88">
        <v>0</v>
      </c>
      <c r="M51" s="88">
        <v>1</v>
      </c>
      <c r="N51" s="88">
        <v>0</v>
      </c>
      <c r="O51" s="88">
        <v>0</v>
      </c>
      <c r="P51" s="88">
        <v>0</v>
      </c>
      <c r="Q51" s="88">
        <v>0</v>
      </c>
      <c r="R51" s="88">
        <v>0</v>
      </c>
      <c r="S51" s="88">
        <v>0</v>
      </c>
      <c r="T51" s="88">
        <v>0</v>
      </c>
      <c r="U51" s="88">
        <v>1</v>
      </c>
      <c r="V51" s="89">
        <f t="shared" si="14"/>
        <v>6</v>
      </c>
    </row>
    <row r="52" spans="1:22">
      <c r="A52" s="86" t="s">
        <v>72</v>
      </c>
      <c r="B52" s="88">
        <v>0</v>
      </c>
      <c r="C52" s="88">
        <v>2</v>
      </c>
      <c r="D52" s="88">
        <v>0</v>
      </c>
      <c r="E52" s="88">
        <v>0</v>
      </c>
      <c r="F52" s="88">
        <v>0</v>
      </c>
      <c r="G52" s="88">
        <v>0</v>
      </c>
      <c r="H52" s="88">
        <v>0</v>
      </c>
      <c r="I52" s="88">
        <v>0</v>
      </c>
      <c r="J52" s="88">
        <v>0</v>
      </c>
      <c r="K52" s="88">
        <v>0</v>
      </c>
      <c r="L52" s="88">
        <v>0</v>
      </c>
      <c r="M52" s="88">
        <v>0</v>
      </c>
      <c r="N52" s="88">
        <v>0</v>
      </c>
      <c r="O52" s="88">
        <v>0</v>
      </c>
      <c r="P52" s="88">
        <v>0</v>
      </c>
      <c r="Q52" s="88">
        <v>2</v>
      </c>
      <c r="R52" s="88">
        <v>0</v>
      </c>
      <c r="S52" s="88">
        <v>0</v>
      </c>
      <c r="T52" s="88">
        <v>0</v>
      </c>
      <c r="U52" s="88">
        <v>2</v>
      </c>
      <c r="V52" s="89">
        <f t="shared" si="14"/>
        <v>6</v>
      </c>
    </row>
    <row r="53" spans="1:22">
      <c r="A53" s="86" t="s">
        <v>73</v>
      </c>
      <c r="B53" s="88">
        <v>0</v>
      </c>
      <c r="C53" s="88">
        <v>1</v>
      </c>
      <c r="D53" s="88">
        <v>0</v>
      </c>
      <c r="E53" s="88">
        <v>0</v>
      </c>
      <c r="F53" s="88">
        <v>0</v>
      </c>
      <c r="G53" s="88">
        <v>0</v>
      </c>
      <c r="H53" s="88">
        <v>0</v>
      </c>
      <c r="I53" s="88">
        <v>0</v>
      </c>
      <c r="J53" s="88">
        <v>1</v>
      </c>
      <c r="K53" s="88">
        <v>0</v>
      </c>
      <c r="L53" s="88">
        <v>0</v>
      </c>
      <c r="M53" s="88">
        <v>0</v>
      </c>
      <c r="N53" s="88">
        <v>0</v>
      </c>
      <c r="O53" s="88">
        <v>0</v>
      </c>
      <c r="P53" s="88">
        <v>0</v>
      </c>
      <c r="Q53" s="88">
        <v>1</v>
      </c>
      <c r="R53" s="88">
        <v>1</v>
      </c>
      <c r="S53" s="88">
        <v>0</v>
      </c>
      <c r="T53" s="88">
        <v>0</v>
      </c>
      <c r="U53" s="88">
        <v>2</v>
      </c>
      <c r="V53" s="89">
        <f t="shared" si="14"/>
        <v>6</v>
      </c>
    </row>
    <row r="54" spans="1:22">
      <c r="A54" s="86" t="s">
        <v>74</v>
      </c>
      <c r="B54" s="88">
        <v>0</v>
      </c>
      <c r="C54" s="88">
        <v>0</v>
      </c>
      <c r="D54" s="88">
        <v>0</v>
      </c>
      <c r="E54" s="88">
        <v>0</v>
      </c>
      <c r="F54" s="88">
        <v>0</v>
      </c>
      <c r="G54" s="88">
        <v>0</v>
      </c>
      <c r="H54" s="88">
        <v>0</v>
      </c>
      <c r="I54" s="88">
        <v>0</v>
      </c>
      <c r="J54" s="88">
        <v>2</v>
      </c>
      <c r="K54" s="88">
        <v>0</v>
      </c>
      <c r="L54" s="88">
        <v>0</v>
      </c>
      <c r="M54" s="88">
        <v>0</v>
      </c>
      <c r="N54" s="88">
        <v>0</v>
      </c>
      <c r="O54" s="88">
        <v>0</v>
      </c>
      <c r="P54" s="88">
        <v>0</v>
      </c>
      <c r="Q54" s="88">
        <v>2</v>
      </c>
      <c r="R54" s="88">
        <v>2</v>
      </c>
      <c r="S54" s="88">
        <v>0</v>
      </c>
      <c r="T54" s="88">
        <v>0</v>
      </c>
      <c r="U54" s="88">
        <v>0</v>
      </c>
      <c r="V54" s="89">
        <f t="shared" si="14"/>
        <v>6</v>
      </c>
    </row>
    <row r="55" spans="1:22">
      <c r="A55" s="86" t="s">
        <v>75</v>
      </c>
      <c r="B55" s="88">
        <v>0</v>
      </c>
      <c r="C55" s="88">
        <v>0</v>
      </c>
      <c r="D55" s="88">
        <v>0</v>
      </c>
      <c r="E55" s="88">
        <v>0</v>
      </c>
      <c r="F55" s="88">
        <v>0</v>
      </c>
      <c r="G55" s="88">
        <v>0</v>
      </c>
      <c r="H55" s="88">
        <v>2</v>
      </c>
      <c r="I55" s="88">
        <v>0</v>
      </c>
      <c r="J55" s="88">
        <v>2</v>
      </c>
      <c r="K55" s="88">
        <v>0</v>
      </c>
      <c r="L55" s="88">
        <v>0</v>
      </c>
      <c r="M55" s="88">
        <v>0</v>
      </c>
      <c r="N55" s="88">
        <v>0</v>
      </c>
      <c r="O55" s="88">
        <v>0</v>
      </c>
      <c r="P55" s="88">
        <v>0</v>
      </c>
      <c r="Q55" s="88">
        <v>0</v>
      </c>
      <c r="R55" s="88">
        <v>2</v>
      </c>
      <c r="S55" s="88">
        <v>0</v>
      </c>
      <c r="T55" s="88">
        <v>0</v>
      </c>
      <c r="U55" s="88">
        <v>0</v>
      </c>
      <c r="V55" s="89">
        <f t="shared" si="14"/>
        <v>6</v>
      </c>
    </row>
    <row r="56" spans="1:22">
      <c r="A56" s="86" t="s">
        <v>76</v>
      </c>
      <c r="B56" s="88">
        <v>0</v>
      </c>
      <c r="C56" s="88">
        <v>0</v>
      </c>
      <c r="D56" s="88">
        <v>0</v>
      </c>
      <c r="E56" s="88">
        <v>0</v>
      </c>
      <c r="F56" s="88">
        <v>0</v>
      </c>
      <c r="G56" s="88">
        <v>0</v>
      </c>
      <c r="H56" s="88">
        <v>2</v>
      </c>
      <c r="I56" s="88">
        <v>0</v>
      </c>
      <c r="J56" s="88">
        <v>0</v>
      </c>
      <c r="K56" s="88">
        <v>0</v>
      </c>
      <c r="L56" s="88">
        <v>0</v>
      </c>
      <c r="M56" s="88">
        <v>0</v>
      </c>
      <c r="N56" s="88">
        <v>0</v>
      </c>
      <c r="O56" s="88">
        <v>1</v>
      </c>
      <c r="P56" s="88">
        <v>0</v>
      </c>
      <c r="Q56" s="88">
        <v>0</v>
      </c>
      <c r="R56" s="88">
        <v>0</v>
      </c>
      <c r="S56" s="88">
        <v>1</v>
      </c>
      <c r="T56" s="88">
        <v>2</v>
      </c>
      <c r="U56" s="88">
        <v>0</v>
      </c>
      <c r="V56" s="89">
        <f t="shared" si="14"/>
        <v>6</v>
      </c>
    </row>
    <row r="57" spans="1:22">
      <c r="A57" s="86" t="s">
        <v>77</v>
      </c>
      <c r="B57" s="88">
        <v>0</v>
      </c>
      <c r="C57" s="88">
        <v>0</v>
      </c>
      <c r="D57" s="88">
        <v>0</v>
      </c>
      <c r="E57" s="88">
        <v>1</v>
      </c>
      <c r="F57" s="88">
        <v>0</v>
      </c>
      <c r="G57" s="88">
        <v>2</v>
      </c>
      <c r="H57" s="88">
        <v>1</v>
      </c>
      <c r="I57" s="88">
        <v>0</v>
      </c>
      <c r="J57" s="88">
        <v>0</v>
      </c>
      <c r="K57" s="88">
        <v>0</v>
      </c>
      <c r="L57" s="88">
        <v>0</v>
      </c>
      <c r="M57" s="88">
        <v>0</v>
      </c>
      <c r="N57" s="88">
        <v>1</v>
      </c>
      <c r="O57" s="88">
        <v>0</v>
      </c>
      <c r="P57" s="88">
        <v>1</v>
      </c>
      <c r="Q57" s="88">
        <v>0</v>
      </c>
      <c r="R57" s="88">
        <v>0</v>
      </c>
      <c r="S57" s="88">
        <v>0</v>
      </c>
      <c r="T57" s="88">
        <v>0</v>
      </c>
      <c r="U57" s="88">
        <v>0</v>
      </c>
      <c r="V57" s="89">
        <f t="shared" si="14"/>
        <v>6</v>
      </c>
    </row>
    <row r="58" spans="1:22">
      <c r="A58" s="86" t="s">
        <v>78</v>
      </c>
      <c r="B58" s="90">
        <v>0</v>
      </c>
      <c r="C58" s="90">
        <v>0</v>
      </c>
      <c r="D58" s="90">
        <v>1</v>
      </c>
      <c r="E58" s="90">
        <v>0</v>
      </c>
      <c r="F58" s="90">
        <v>0</v>
      </c>
      <c r="G58" s="90">
        <v>2</v>
      </c>
      <c r="H58" s="90">
        <v>0</v>
      </c>
      <c r="I58" s="90">
        <v>1</v>
      </c>
      <c r="J58" s="90">
        <v>0</v>
      </c>
      <c r="K58" s="90">
        <v>1</v>
      </c>
      <c r="L58" s="90">
        <v>1</v>
      </c>
      <c r="M58" s="90">
        <v>0</v>
      </c>
      <c r="N58" s="90">
        <v>0</v>
      </c>
      <c r="O58" s="90">
        <v>0</v>
      </c>
      <c r="P58" s="90">
        <v>0</v>
      </c>
      <c r="Q58" s="90">
        <v>0</v>
      </c>
      <c r="R58" s="90">
        <v>0</v>
      </c>
      <c r="S58" s="90">
        <v>0</v>
      </c>
      <c r="T58" s="90">
        <v>0</v>
      </c>
      <c r="U58" s="90">
        <v>0</v>
      </c>
      <c r="V58" s="89">
        <f t="shared" si="14"/>
        <v>6</v>
      </c>
    </row>
    <row r="59" spans="1:22">
      <c r="A59" s="87" t="s">
        <v>94</v>
      </c>
      <c r="B59" s="91">
        <f>SUM(B49:B58)</f>
        <v>5</v>
      </c>
      <c r="C59" s="92">
        <f t="shared" ref="C59:T59" si="15">SUM(C49:C58)</f>
        <v>5</v>
      </c>
      <c r="D59" s="92">
        <f t="shared" si="15"/>
        <v>1</v>
      </c>
      <c r="E59" s="92">
        <f t="shared" si="15"/>
        <v>1</v>
      </c>
      <c r="F59" s="92">
        <f t="shared" si="15"/>
        <v>5</v>
      </c>
      <c r="G59" s="92">
        <f t="shared" si="15"/>
        <v>4</v>
      </c>
      <c r="H59" s="92">
        <f t="shared" si="15"/>
        <v>5</v>
      </c>
      <c r="I59" s="92">
        <f t="shared" si="15"/>
        <v>1</v>
      </c>
      <c r="J59" s="92">
        <f t="shared" si="15"/>
        <v>5</v>
      </c>
      <c r="K59" s="92">
        <f t="shared" si="15"/>
        <v>1</v>
      </c>
      <c r="L59" s="92">
        <f t="shared" si="15"/>
        <v>1</v>
      </c>
      <c r="M59" s="92">
        <f t="shared" si="15"/>
        <v>5</v>
      </c>
      <c r="N59" s="92">
        <f t="shared" si="15"/>
        <v>1</v>
      </c>
      <c r="O59" s="92">
        <f t="shared" si="15"/>
        <v>1</v>
      </c>
      <c r="P59" s="92">
        <f t="shared" si="15"/>
        <v>1</v>
      </c>
      <c r="Q59" s="92">
        <f t="shared" si="15"/>
        <v>5</v>
      </c>
      <c r="R59" s="92">
        <f t="shared" si="15"/>
        <v>5</v>
      </c>
      <c r="S59" s="92">
        <f t="shared" si="15"/>
        <v>1</v>
      </c>
      <c r="T59" s="92">
        <f t="shared" si="15"/>
        <v>2</v>
      </c>
      <c r="U59" s="92">
        <f>SUM(U49:U58)</f>
        <v>5</v>
      </c>
      <c r="V59" s="93">
        <f>SUM(B59:U59)</f>
        <v>60</v>
      </c>
    </row>
    <row r="60" spans="1:22" ht="14.65" thickBot="1"/>
    <row r="61" spans="1:22">
      <c r="B61" s="111" t="s">
        <v>100</v>
      </c>
      <c r="C61" s="111"/>
      <c r="D61" s="111"/>
      <c r="E61" s="111">
        <f>SUM(B59:L59)</f>
        <v>34</v>
      </c>
      <c r="F61" s="103" t="s">
        <v>101</v>
      </c>
      <c r="G61" s="113">
        <v>32</v>
      </c>
      <c r="H61" s="103" t="s">
        <v>102</v>
      </c>
      <c r="I61" s="113">
        <v>34</v>
      </c>
      <c r="M61" s="114" t="s">
        <v>103</v>
      </c>
      <c r="N61" s="114"/>
      <c r="O61" s="115"/>
      <c r="P61" s="104">
        <f>SUM(B59:L59)/V59</f>
        <v>0.56666666666666665</v>
      </c>
      <c r="Q61" s="110" t="s">
        <v>104</v>
      </c>
      <c r="R61" s="105">
        <f>11/20</f>
        <v>0.55000000000000004</v>
      </c>
    </row>
    <row r="62" spans="1:22">
      <c r="B62" s="111" t="s">
        <v>105</v>
      </c>
      <c r="C62" s="111"/>
      <c r="D62" s="111"/>
      <c r="E62" s="111">
        <f>SUM(M59:R59)</f>
        <v>18</v>
      </c>
      <c r="F62" s="103" t="s">
        <v>101</v>
      </c>
      <c r="G62" s="113">
        <v>17</v>
      </c>
      <c r="H62" s="103" t="s">
        <v>102</v>
      </c>
      <c r="I62" s="113">
        <v>19</v>
      </c>
      <c r="M62" s="114" t="s">
        <v>106</v>
      </c>
      <c r="N62" s="114"/>
      <c r="O62" s="116"/>
      <c r="P62" s="106">
        <f>SUM(M59:R59)/V59</f>
        <v>0.3</v>
      </c>
      <c r="Q62" s="110" t="s">
        <v>104</v>
      </c>
      <c r="R62" s="107">
        <f>6/20</f>
        <v>0.3</v>
      </c>
    </row>
    <row r="63" spans="1:22" ht="14.65" thickBot="1">
      <c r="B63" s="112" t="s">
        <v>107</v>
      </c>
      <c r="C63" s="112"/>
      <c r="D63" s="112"/>
      <c r="E63" s="112">
        <f>SUM(S59:U59)</f>
        <v>8</v>
      </c>
      <c r="F63" s="103" t="s">
        <v>101</v>
      </c>
      <c r="G63" s="113">
        <v>8</v>
      </c>
      <c r="H63" s="103" t="s">
        <v>102</v>
      </c>
      <c r="I63" s="113">
        <v>10</v>
      </c>
      <c r="M63" s="114" t="s">
        <v>108</v>
      </c>
      <c r="N63" s="114"/>
      <c r="O63" s="117"/>
      <c r="P63" s="108">
        <f>SUM(S59:U59)/V59</f>
        <v>0.13333333333333333</v>
      </c>
      <c r="Q63" s="110" t="s">
        <v>104</v>
      </c>
      <c r="R63" s="109">
        <f>3/20</f>
        <v>0.15</v>
      </c>
    </row>
    <row r="65" spans="1:2">
      <c r="A65" s="277" t="s">
        <v>84</v>
      </c>
      <c r="B65" s="277"/>
    </row>
    <row r="66" spans="1:2">
      <c r="A66" s="278">
        <f>SUMPRODUCT(B32:U41,B49:U58)</f>
        <v>601205540</v>
      </c>
      <c r="B66" s="278"/>
    </row>
  </sheetData>
  <mergeCells count="4">
    <mergeCell ref="B30:U30"/>
    <mergeCell ref="B47:V47"/>
    <mergeCell ref="A65:B65"/>
    <mergeCell ref="A66:B66"/>
  </mergeCells>
  <phoneticPr fontId="19"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0C45F-3669-4970-8002-8C5E77DA47CF}">
  <dimension ref="A4:V67"/>
  <sheetViews>
    <sheetView topLeftCell="A40" zoomScale="96" workbookViewId="0">
      <selection activeCell="B23" sqref="B23"/>
    </sheetView>
  </sheetViews>
  <sheetFormatPr baseColWidth="10" defaultColWidth="11.3984375" defaultRowHeight="14.25"/>
  <cols>
    <col min="2" max="2" width="12.86328125" bestFit="1" customWidth="1"/>
    <col min="3" max="3" width="14.1328125" customWidth="1"/>
    <col min="4" max="4" width="13.3984375" customWidth="1"/>
    <col min="5" max="5" width="13" customWidth="1"/>
    <col min="6" max="6" width="14.59765625" customWidth="1"/>
    <col min="7" max="7" width="13.1328125" customWidth="1"/>
    <col min="8" max="8" width="14.59765625" customWidth="1"/>
    <col min="9" max="9" width="13.1328125" customWidth="1"/>
    <col min="10" max="10" width="14.59765625" customWidth="1"/>
    <col min="11" max="11" width="13.265625" customWidth="1"/>
    <col min="12" max="12" width="13.3984375" customWidth="1"/>
    <col min="13" max="13" width="15.73046875" customWidth="1"/>
    <col min="14" max="14" width="13.265625" customWidth="1"/>
    <col min="15" max="15" width="13.1328125" customWidth="1"/>
    <col min="16" max="16" width="14.265625" customWidth="1"/>
    <col min="17" max="17" width="14" customWidth="1"/>
    <col min="18" max="18" width="14.73046875" customWidth="1"/>
    <col min="19" max="19" width="11.3984375" bestFit="1" customWidth="1"/>
    <col min="20" max="20" width="13.265625" customWidth="1"/>
    <col min="21" max="21" width="15.3984375" customWidth="1"/>
  </cols>
  <sheetData>
    <row r="4" spans="1:6">
      <c r="A4" s="121" t="s">
        <v>61</v>
      </c>
      <c r="B4" s="122"/>
      <c r="C4" s="122"/>
      <c r="D4" s="122"/>
      <c r="E4" s="123"/>
      <c r="F4" s="58">
        <v>6</v>
      </c>
    </row>
    <row r="5" spans="1:6">
      <c r="A5" s="94" t="s">
        <v>62</v>
      </c>
      <c r="B5" s="95"/>
      <c r="C5" s="95"/>
      <c r="D5" s="95"/>
      <c r="E5" s="96"/>
      <c r="F5" s="58">
        <v>1</v>
      </c>
    </row>
    <row r="6" spans="1:6">
      <c r="A6" s="94" t="s">
        <v>63</v>
      </c>
      <c r="B6" s="95"/>
      <c r="C6" s="95"/>
      <c r="D6" s="95"/>
      <c r="E6" s="96"/>
      <c r="F6" s="58">
        <v>5</v>
      </c>
    </row>
    <row r="7" spans="1:6">
      <c r="A7" s="100" t="s">
        <v>64</v>
      </c>
      <c r="B7" s="101"/>
      <c r="C7" s="101"/>
      <c r="D7" s="101"/>
      <c r="E7" s="102"/>
      <c r="F7" s="58">
        <v>2</v>
      </c>
    </row>
    <row r="10" spans="1:6">
      <c r="A10" s="60" t="s">
        <v>67</v>
      </c>
      <c r="B10" s="60" t="s">
        <v>68</v>
      </c>
      <c r="C10" s="78" t="s">
        <v>90</v>
      </c>
      <c r="D10" s="78" t="s">
        <v>44</v>
      </c>
      <c r="E10" s="78" t="s">
        <v>57</v>
      </c>
    </row>
    <row r="11" spans="1:6">
      <c r="A11" s="61" t="s">
        <v>69</v>
      </c>
      <c r="B11" s="59">
        <v>22.5</v>
      </c>
      <c r="C11" s="79">
        <f t="shared" ref="C11:C20" si="0">175+B11</f>
        <v>197.5</v>
      </c>
      <c r="D11" s="79">
        <f t="shared" ref="D11:D20" si="1">135+B11</f>
        <v>157.5</v>
      </c>
      <c r="E11" s="79">
        <f t="shared" ref="E11:E20" si="2">140+B11</f>
        <v>162.5</v>
      </c>
    </row>
    <row r="12" spans="1:6">
      <c r="A12" s="61" t="s">
        <v>70</v>
      </c>
      <c r="B12" s="59">
        <f>B11-2.5</f>
        <v>20</v>
      </c>
      <c r="C12" s="79">
        <f t="shared" si="0"/>
        <v>195</v>
      </c>
      <c r="D12" s="79">
        <f t="shared" si="1"/>
        <v>155</v>
      </c>
      <c r="E12" s="79">
        <f t="shared" si="2"/>
        <v>160</v>
      </c>
    </row>
    <row r="13" spans="1:6">
      <c r="A13" s="61" t="s">
        <v>71</v>
      </c>
      <c r="B13" s="59">
        <f t="shared" ref="B13:B20" si="3">B12-2.5</f>
        <v>17.5</v>
      </c>
      <c r="C13" s="79">
        <f t="shared" si="0"/>
        <v>192.5</v>
      </c>
      <c r="D13" s="79">
        <f t="shared" si="1"/>
        <v>152.5</v>
      </c>
      <c r="E13" s="79">
        <f t="shared" si="2"/>
        <v>157.5</v>
      </c>
    </row>
    <row r="14" spans="1:6">
      <c r="A14" s="61" t="s">
        <v>72</v>
      </c>
      <c r="B14" s="59">
        <f t="shared" si="3"/>
        <v>15</v>
      </c>
      <c r="C14" s="79">
        <f t="shared" si="0"/>
        <v>190</v>
      </c>
      <c r="D14" s="79">
        <f t="shared" si="1"/>
        <v>150</v>
      </c>
      <c r="E14" s="79">
        <f t="shared" si="2"/>
        <v>155</v>
      </c>
    </row>
    <row r="15" spans="1:6">
      <c r="A15" s="62" t="s">
        <v>73</v>
      </c>
      <c r="B15" s="59">
        <f t="shared" si="3"/>
        <v>12.5</v>
      </c>
      <c r="C15" s="79">
        <f t="shared" si="0"/>
        <v>187.5</v>
      </c>
      <c r="D15" s="79">
        <f t="shared" si="1"/>
        <v>147.5</v>
      </c>
      <c r="E15" s="79">
        <f t="shared" si="2"/>
        <v>152.5</v>
      </c>
    </row>
    <row r="16" spans="1:6">
      <c r="A16" s="62" t="s">
        <v>74</v>
      </c>
      <c r="B16" s="59">
        <f t="shared" si="3"/>
        <v>10</v>
      </c>
      <c r="C16" s="79">
        <f t="shared" si="0"/>
        <v>185</v>
      </c>
      <c r="D16" s="79">
        <f t="shared" si="1"/>
        <v>145</v>
      </c>
      <c r="E16" s="79">
        <f t="shared" si="2"/>
        <v>150</v>
      </c>
    </row>
    <row r="17" spans="1:21">
      <c r="A17" s="62" t="s">
        <v>75</v>
      </c>
      <c r="B17" s="59">
        <f t="shared" si="3"/>
        <v>7.5</v>
      </c>
      <c r="C17" s="79">
        <f t="shared" si="0"/>
        <v>182.5</v>
      </c>
      <c r="D17" s="79">
        <f t="shared" si="1"/>
        <v>142.5</v>
      </c>
      <c r="E17" s="79">
        <f t="shared" si="2"/>
        <v>147.5</v>
      </c>
    </row>
    <row r="18" spans="1:21">
      <c r="A18" s="62" t="s">
        <v>76</v>
      </c>
      <c r="B18" s="59">
        <f t="shared" si="3"/>
        <v>5</v>
      </c>
      <c r="C18" s="79">
        <f t="shared" si="0"/>
        <v>180</v>
      </c>
      <c r="D18" s="79">
        <f t="shared" si="1"/>
        <v>140</v>
      </c>
      <c r="E18" s="79">
        <f t="shared" si="2"/>
        <v>145</v>
      </c>
    </row>
    <row r="19" spans="1:21">
      <c r="A19" s="62" t="s">
        <v>77</v>
      </c>
      <c r="B19" s="59">
        <f t="shared" si="3"/>
        <v>2.5</v>
      </c>
      <c r="C19" s="79">
        <f t="shared" si="0"/>
        <v>177.5</v>
      </c>
      <c r="D19" s="79">
        <f t="shared" si="1"/>
        <v>137.5</v>
      </c>
      <c r="E19" s="79">
        <f t="shared" si="2"/>
        <v>142.5</v>
      </c>
    </row>
    <row r="20" spans="1:21">
      <c r="A20" s="62" t="s">
        <v>78</v>
      </c>
      <c r="B20" s="59">
        <f t="shared" si="3"/>
        <v>0</v>
      </c>
      <c r="C20" s="79">
        <f t="shared" si="0"/>
        <v>175</v>
      </c>
      <c r="D20" s="79">
        <f t="shared" si="1"/>
        <v>135</v>
      </c>
      <c r="E20" s="79">
        <f t="shared" si="2"/>
        <v>140</v>
      </c>
    </row>
    <row r="22" spans="1:21">
      <c r="A22" s="80" t="s">
        <v>91</v>
      </c>
      <c r="B22" s="78">
        <v>1</v>
      </c>
      <c r="C22" s="78">
        <f>B22+1</f>
        <v>2</v>
      </c>
      <c r="D22" s="78">
        <f t="shared" ref="D22:U22" si="4">C22+1</f>
        <v>3</v>
      </c>
      <c r="E22" s="78">
        <f t="shared" si="4"/>
        <v>4</v>
      </c>
      <c r="F22" s="78">
        <f t="shared" si="4"/>
        <v>5</v>
      </c>
      <c r="G22" s="78">
        <f t="shared" si="4"/>
        <v>6</v>
      </c>
      <c r="H22" s="78">
        <f t="shared" si="4"/>
        <v>7</v>
      </c>
      <c r="I22" s="78">
        <f t="shared" si="4"/>
        <v>8</v>
      </c>
      <c r="J22" s="78">
        <f t="shared" si="4"/>
        <v>9</v>
      </c>
      <c r="K22" s="78">
        <f t="shared" si="4"/>
        <v>10</v>
      </c>
      <c r="L22" s="78">
        <f t="shared" si="4"/>
        <v>11</v>
      </c>
      <c r="M22" s="78">
        <f t="shared" si="4"/>
        <v>12</v>
      </c>
      <c r="N22" s="78">
        <f t="shared" si="4"/>
        <v>13</v>
      </c>
      <c r="O22" s="78">
        <f t="shared" si="4"/>
        <v>14</v>
      </c>
      <c r="P22" s="78">
        <f t="shared" si="4"/>
        <v>15</v>
      </c>
      <c r="Q22" s="78">
        <f t="shared" si="4"/>
        <v>16</v>
      </c>
      <c r="R22" s="78">
        <f t="shared" si="4"/>
        <v>17</v>
      </c>
      <c r="S22" s="78">
        <f t="shared" si="4"/>
        <v>18</v>
      </c>
      <c r="T22" s="78">
        <f t="shared" si="4"/>
        <v>19</v>
      </c>
      <c r="U22" s="78">
        <f t="shared" si="4"/>
        <v>20</v>
      </c>
    </row>
    <row r="23" spans="1:21">
      <c r="A23" s="80" t="s">
        <v>92</v>
      </c>
      <c r="B23" s="81">
        <v>85000</v>
      </c>
      <c r="C23" s="81">
        <v>70500</v>
      </c>
      <c r="D23" s="81">
        <v>33600</v>
      </c>
      <c r="E23" s="81">
        <v>40500</v>
      </c>
      <c r="F23" s="81">
        <v>105000</v>
      </c>
      <c r="G23" s="81">
        <v>42300</v>
      </c>
      <c r="H23" s="81">
        <v>53300</v>
      </c>
      <c r="I23" s="81">
        <v>34600</v>
      </c>
      <c r="J23" s="81">
        <v>57600</v>
      </c>
      <c r="K23" s="81">
        <v>29000</v>
      </c>
      <c r="L23" s="81">
        <v>31300</v>
      </c>
      <c r="M23" s="81">
        <v>115000</v>
      </c>
      <c r="N23" s="81">
        <v>45500</v>
      </c>
      <c r="O23" s="81">
        <v>45200</v>
      </c>
      <c r="P23" s="81">
        <v>45000</v>
      </c>
      <c r="Q23" s="81">
        <v>65000</v>
      </c>
      <c r="R23" s="81">
        <v>65000</v>
      </c>
      <c r="S23" s="81">
        <v>50000</v>
      </c>
      <c r="T23" s="81">
        <v>50100</v>
      </c>
      <c r="U23" s="81">
        <v>64600</v>
      </c>
    </row>
    <row r="24" spans="1:21">
      <c r="A24" s="80" t="s">
        <v>93</v>
      </c>
      <c r="B24" s="82">
        <v>1</v>
      </c>
      <c r="C24" s="82">
        <v>0.95</v>
      </c>
      <c r="D24" s="82">
        <v>0.91</v>
      </c>
      <c r="E24" s="82">
        <v>0.92</v>
      </c>
      <c r="F24" s="82">
        <v>1</v>
      </c>
      <c r="G24" s="82">
        <v>0.96</v>
      </c>
      <c r="H24" s="82">
        <v>0.92</v>
      </c>
      <c r="I24" s="82">
        <v>0.95</v>
      </c>
      <c r="J24" s="82">
        <v>0.97</v>
      </c>
      <c r="K24" s="82">
        <v>0.9</v>
      </c>
      <c r="L24" s="82">
        <v>0.92</v>
      </c>
      <c r="M24" s="82">
        <v>1</v>
      </c>
      <c r="N24" s="82">
        <v>0.97</v>
      </c>
      <c r="O24" s="82">
        <v>0.98</v>
      </c>
      <c r="P24" s="82">
        <v>0.93</v>
      </c>
      <c r="Q24" s="82">
        <v>0.97</v>
      </c>
      <c r="R24" s="82">
        <v>0.92</v>
      </c>
      <c r="S24" s="82">
        <v>0.94</v>
      </c>
      <c r="T24" s="82">
        <v>0.95</v>
      </c>
      <c r="U24" s="82">
        <v>1</v>
      </c>
    </row>
    <row r="25" spans="1:21">
      <c r="A25" s="80" t="s">
        <v>94</v>
      </c>
      <c r="B25">
        <f>+B23*B24</f>
        <v>85000</v>
      </c>
      <c r="C25">
        <f t="shared" ref="C25:U25" si="5">+C23*C24</f>
        <v>66975</v>
      </c>
      <c r="D25">
        <f t="shared" si="5"/>
        <v>30576</v>
      </c>
      <c r="E25">
        <f t="shared" si="5"/>
        <v>37260</v>
      </c>
      <c r="F25">
        <f t="shared" si="5"/>
        <v>105000</v>
      </c>
      <c r="G25">
        <f t="shared" si="5"/>
        <v>40608</v>
      </c>
      <c r="H25">
        <f t="shared" si="5"/>
        <v>49036</v>
      </c>
      <c r="I25">
        <f t="shared" si="5"/>
        <v>32870</v>
      </c>
      <c r="J25">
        <f t="shared" si="5"/>
        <v>55872</v>
      </c>
      <c r="K25">
        <f t="shared" si="5"/>
        <v>26100</v>
      </c>
      <c r="L25">
        <f t="shared" si="5"/>
        <v>28796</v>
      </c>
      <c r="M25">
        <f t="shared" si="5"/>
        <v>115000</v>
      </c>
      <c r="N25">
        <f t="shared" si="5"/>
        <v>44135</v>
      </c>
      <c r="O25">
        <f t="shared" si="5"/>
        <v>44296</v>
      </c>
      <c r="P25">
        <f t="shared" si="5"/>
        <v>41850</v>
      </c>
      <c r="Q25">
        <f t="shared" si="5"/>
        <v>63050</v>
      </c>
      <c r="R25">
        <f t="shared" si="5"/>
        <v>59800</v>
      </c>
      <c r="S25">
        <f t="shared" si="5"/>
        <v>47000</v>
      </c>
      <c r="T25">
        <f t="shared" si="5"/>
        <v>47595</v>
      </c>
      <c r="U25">
        <f t="shared" si="5"/>
        <v>64600</v>
      </c>
    </row>
    <row r="26" spans="1:21">
      <c r="A26" s="80" t="s">
        <v>109</v>
      </c>
      <c r="B26" s="63">
        <v>1.2500000000000001E-2</v>
      </c>
      <c r="C26" s="63">
        <v>2.2499999999999999E-2</v>
      </c>
      <c r="D26" s="63">
        <v>2.2499999999999999E-2</v>
      </c>
      <c r="E26" s="63">
        <v>0.02</v>
      </c>
      <c r="F26" s="63">
        <v>1.2500000000000001E-2</v>
      </c>
      <c r="G26" s="63">
        <v>2.2499999999999999E-2</v>
      </c>
      <c r="H26" s="63">
        <v>1.7500000000000002E-2</v>
      </c>
      <c r="I26" s="63">
        <v>1.4999999999999999E-2</v>
      </c>
      <c r="J26" s="63">
        <v>2.2499999999999999E-2</v>
      </c>
      <c r="K26" s="63">
        <v>1.7500000000000002E-2</v>
      </c>
      <c r="L26" s="63">
        <v>0.02</v>
      </c>
      <c r="M26" s="64">
        <v>1.4999999999999999E-2</v>
      </c>
      <c r="N26" s="64">
        <v>1.4999999999999999E-2</v>
      </c>
      <c r="O26" s="64">
        <v>0.02</v>
      </c>
      <c r="P26" s="64">
        <v>0.02</v>
      </c>
      <c r="Q26" s="64">
        <v>1.4999999999999999E-2</v>
      </c>
      <c r="R26" s="64">
        <v>1.2500000000000001E-2</v>
      </c>
      <c r="S26" s="65">
        <v>1.7500000000000002E-2</v>
      </c>
      <c r="T26" s="65">
        <v>1.7500000000000002E-2</v>
      </c>
      <c r="U26" s="65">
        <v>1.7500000000000002E-2</v>
      </c>
    </row>
    <row r="28" spans="1:21">
      <c r="A28" s="80" t="s">
        <v>95</v>
      </c>
      <c r="B28" s="83">
        <v>1400000</v>
      </c>
      <c r="C28" s="83">
        <v>1225000</v>
      </c>
      <c r="D28" s="83">
        <v>600000</v>
      </c>
      <c r="E28" s="83">
        <v>700000</v>
      </c>
      <c r="F28" s="83">
        <v>1725000</v>
      </c>
      <c r="G28" s="83">
        <v>700000</v>
      </c>
      <c r="H28" s="83">
        <v>925000</v>
      </c>
      <c r="I28" s="83">
        <v>600000</v>
      </c>
      <c r="J28" s="83">
        <v>1000000</v>
      </c>
      <c r="K28" s="83">
        <v>500000</v>
      </c>
      <c r="L28" s="83">
        <v>550000</v>
      </c>
      <c r="M28" s="83">
        <v>2000000</v>
      </c>
      <c r="N28" s="83">
        <v>800000</v>
      </c>
      <c r="O28" s="83">
        <v>800000</v>
      </c>
      <c r="P28" s="83">
        <v>800000</v>
      </c>
      <c r="Q28" s="83">
        <v>1150000</v>
      </c>
      <c r="R28" s="83">
        <v>800000</v>
      </c>
      <c r="S28" s="83">
        <v>900000</v>
      </c>
      <c r="T28" s="83">
        <v>900000</v>
      </c>
      <c r="U28" s="83">
        <v>1150000</v>
      </c>
    </row>
    <row r="31" spans="1:21">
      <c r="B31" s="273" t="s">
        <v>96</v>
      </c>
      <c r="C31" s="273"/>
      <c r="D31" s="273"/>
      <c r="E31" s="273"/>
      <c r="F31" s="273"/>
      <c r="G31" s="273"/>
      <c r="H31" s="273"/>
      <c r="I31" s="273"/>
      <c r="J31" s="273"/>
      <c r="K31" s="273"/>
      <c r="L31" s="273"/>
      <c r="M31" s="273"/>
      <c r="N31" s="273"/>
      <c r="O31" s="273"/>
      <c r="P31" s="273"/>
      <c r="Q31" s="273"/>
      <c r="R31" s="273"/>
      <c r="S31" s="273"/>
      <c r="T31" s="273"/>
      <c r="U31" s="273"/>
    </row>
    <row r="32" spans="1:21">
      <c r="A32" s="80" t="s">
        <v>97</v>
      </c>
      <c r="B32" s="78">
        <v>1</v>
      </c>
      <c r="C32" s="78">
        <f>B32+1</f>
        <v>2</v>
      </c>
      <c r="D32" s="78">
        <f t="shared" ref="D32:U32" si="6">C32+1</f>
        <v>3</v>
      </c>
      <c r="E32" s="78">
        <f t="shared" si="6"/>
        <v>4</v>
      </c>
      <c r="F32" s="78">
        <f t="shared" si="6"/>
        <v>5</v>
      </c>
      <c r="G32" s="78">
        <f t="shared" si="6"/>
        <v>6</v>
      </c>
      <c r="H32" s="78">
        <f t="shared" si="6"/>
        <v>7</v>
      </c>
      <c r="I32" s="78">
        <f t="shared" si="6"/>
        <v>8</v>
      </c>
      <c r="J32" s="78">
        <f t="shared" si="6"/>
        <v>9</v>
      </c>
      <c r="K32" s="78">
        <f t="shared" si="6"/>
        <v>10</v>
      </c>
      <c r="L32" s="78">
        <f t="shared" si="6"/>
        <v>11</v>
      </c>
      <c r="M32" s="78">
        <f t="shared" si="6"/>
        <v>12</v>
      </c>
      <c r="N32" s="78">
        <f t="shared" si="6"/>
        <v>13</v>
      </c>
      <c r="O32" s="78">
        <f t="shared" si="6"/>
        <v>14</v>
      </c>
      <c r="P32" s="78">
        <f t="shared" si="6"/>
        <v>15</v>
      </c>
      <c r="Q32" s="78">
        <f t="shared" si="6"/>
        <v>16</v>
      </c>
      <c r="R32" s="78">
        <f t="shared" si="6"/>
        <v>17</v>
      </c>
      <c r="S32" s="78">
        <f t="shared" si="6"/>
        <v>18</v>
      </c>
      <c r="T32" s="78">
        <f t="shared" si="6"/>
        <v>19</v>
      </c>
      <c r="U32" s="78">
        <f t="shared" si="6"/>
        <v>20</v>
      </c>
    </row>
    <row r="33" spans="1:22">
      <c r="A33" s="61" t="s">
        <v>69</v>
      </c>
      <c r="B33" s="120">
        <f>($C11*B$25)-B$28-($C11*B$25*B$26)</f>
        <v>15177656.25</v>
      </c>
      <c r="C33" s="120">
        <f t="shared" ref="C33:L33" si="7">($C11*C$25)-C$28-($C11*C$25*C$26)</f>
        <v>11704942.34375</v>
      </c>
      <c r="D33" s="120">
        <f t="shared" si="7"/>
        <v>5302887.9000000004</v>
      </c>
      <c r="E33" s="120">
        <f t="shared" si="7"/>
        <v>6511673</v>
      </c>
      <c r="F33" s="120">
        <f t="shared" si="7"/>
        <v>18753281.25</v>
      </c>
      <c r="G33" s="120">
        <f t="shared" si="7"/>
        <v>7139628.2000000002</v>
      </c>
      <c r="H33" s="120">
        <f t="shared" si="7"/>
        <v>8590129.3249999993</v>
      </c>
      <c r="I33" s="120">
        <f t="shared" si="7"/>
        <v>5794447.625</v>
      </c>
      <c r="J33" s="120">
        <f t="shared" si="7"/>
        <v>9786438.8000000007</v>
      </c>
      <c r="K33" s="120">
        <f t="shared" si="7"/>
        <v>4564541.875</v>
      </c>
      <c r="L33" s="120">
        <f t="shared" si="7"/>
        <v>5023465.8</v>
      </c>
      <c r="M33" s="120">
        <f>($D11*M$25)-M$28-($D11*M$25*M$26)</f>
        <v>15840812.5</v>
      </c>
      <c r="N33" s="120">
        <f>($D11*N$25)-N$28-($D11*N$25*N$26)</f>
        <v>6046993.5625</v>
      </c>
      <c r="O33" s="120">
        <f t="shared" ref="O33:R33" si="8">($D11*O$25)-O$28-($D11*O$25*O$26)</f>
        <v>6037087.5999999996</v>
      </c>
      <c r="P33" s="120">
        <f t="shared" si="8"/>
        <v>5659547.5</v>
      </c>
      <c r="Q33" s="120">
        <f t="shared" si="8"/>
        <v>8631419.375</v>
      </c>
      <c r="R33" s="120">
        <f t="shared" si="8"/>
        <v>8500768.75</v>
      </c>
      <c r="S33" s="120">
        <f>($E11*S$25)-S$28-($E11*S$25*S$26)</f>
        <v>6603843.75</v>
      </c>
      <c r="T33" s="120">
        <f>($E11*T$25)-T$28-($E11*T$25*T$26)</f>
        <v>6698839.21875</v>
      </c>
      <c r="U33" s="120">
        <f>($E11*U$25)-U$28-($E11*U$25*U$26)</f>
        <v>9163793.75</v>
      </c>
    </row>
    <row r="34" spans="1:22">
      <c r="A34" s="61" t="s">
        <v>70</v>
      </c>
      <c r="B34" s="120">
        <f>($C12*B$25)-B$28-($C12*B$25*B$26)</f>
        <v>14967812.5</v>
      </c>
      <c r="C34" s="120">
        <f t="shared" ref="C34:L34" si="9">($C12*C$25)-C$28-($C12*C$25*C$26)</f>
        <v>11541272.1875</v>
      </c>
      <c r="D34" s="120">
        <f t="shared" si="9"/>
        <v>5228167.8</v>
      </c>
      <c r="E34" s="120">
        <f t="shared" si="9"/>
        <v>6420386</v>
      </c>
      <c r="F34" s="120">
        <f t="shared" si="9"/>
        <v>18494062.5</v>
      </c>
      <c r="G34" s="120">
        <f t="shared" si="9"/>
        <v>7040392.4000000004</v>
      </c>
      <c r="H34" s="120">
        <f t="shared" si="9"/>
        <v>8469684.6500000004</v>
      </c>
      <c r="I34" s="120">
        <f t="shared" si="9"/>
        <v>5713505.25</v>
      </c>
      <c r="J34" s="120">
        <f t="shared" si="9"/>
        <v>9649901.5999999996</v>
      </c>
      <c r="K34" s="120">
        <f t="shared" si="9"/>
        <v>4500433.75</v>
      </c>
      <c r="L34" s="120">
        <f t="shared" si="9"/>
        <v>4952915.5999999996</v>
      </c>
      <c r="M34" s="120">
        <f t="shared" ref="M34:R42" si="10">($D12*M$25)-M$28-($D12*M$25*M$26)</f>
        <v>15557625</v>
      </c>
      <c r="N34" s="120">
        <f t="shared" si="10"/>
        <v>5938311.125</v>
      </c>
      <c r="O34" s="120">
        <f t="shared" si="10"/>
        <v>5928562.4000000004</v>
      </c>
      <c r="P34" s="120">
        <f t="shared" si="10"/>
        <v>5557015</v>
      </c>
      <c r="Q34" s="120">
        <f t="shared" si="10"/>
        <v>8476158.75</v>
      </c>
      <c r="R34" s="120">
        <f t="shared" si="10"/>
        <v>8353137.5</v>
      </c>
      <c r="S34" s="120">
        <f t="shared" ref="S34:U42" si="11">($E12*S$25)-S$28-($E12*S$25*S$26)</f>
        <v>6488400</v>
      </c>
      <c r="T34" s="120">
        <f t="shared" si="11"/>
        <v>6581934</v>
      </c>
      <c r="U34" s="120">
        <f t="shared" si="11"/>
        <v>9005120</v>
      </c>
    </row>
    <row r="35" spans="1:22">
      <c r="A35" s="61" t="s">
        <v>71</v>
      </c>
      <c r="B35" s="120">
        <f t="shared" ref="B35:L42" si="12">($C13*B$25)-B$28-($C13*B$25*B$26)</f>
        <v>14757968.75</v>
      </c>
      <c r="C35" s="120">
        <f t="shared" si="12"/>
        <v>11377602.03125</v>
      </c>
      <c r="D35" s="120">
        <f t="shared" si="12"/>
        <v>5153447.7</v>
      </c>
      <c r="E35" s="120">
        <f t="shared" si="12"/>
        <v>6329099</v>
      </c>
      <c r="F35" s="120">
        <f t="shared" si="12"/>
        <v>18234843.75</v>
      </c>
      <c r="G35" s="120">
        <f t="shared" si="12"/>
        <v>6941156.5999999996</v>
      </c>
      <c r="H35" s="120">
        <f t="shared" si="12"/>
        <v>8349239.9749999996</v>
      </c>
      <c r="I35" s="120">
        <f t="shared" si="12"/>
        <v>5632562.875</v>
      </c>
      <c r="J35" s="120">
        <f t="shared" si="12"/>
        <v>9513364.4000000004</v>
      </c>
      <c r="K35" s="120">
        <f t="shared" si="12"/>
        <v>4436325.625</v>
      </c>
      <c r="L35" s="120">
        <f t="shared" si="12"/>
        <v>4882365.4000000004</v>
      </c>
      <c r="M35" s="120">
        <f t="shared" si="10"/>
        <v>15274437.5</v>
      </c>
      <c r="N35" s="120">
        <f t="shared" si="10"/>
        <v>5829628.6875</v>
      </c>
      <c r="O35" s="120">
        <f t="shared" si="10"/>
        <v>5820037.2000000002</v>
      </c>
      <c r="P35" s="120">
        <f t="shared" si="10"/>
        <v>5454482.5</v>
      </c>
      <c r="Q35" s="120">
        <f t="shared" si="10"/>
        <v>8320898.125</v>
      </c>
      <c r="R35" s="120">
        <f t="shared" si="10"/>
        <v>8205506.25</v>
      </c>
      <c r="S35" s="120">
        <f t="shared" si="11"/>
        <v>6372956.25</v>
      </c>
      <c r="T35" s="120">
        <f t="shared" si="11"/>
        <v>6465028.78125</v>
      </c>
      <c r="U35" s="120">
        <f t="shared" si="11"/>
        <v>8846446.25</v>
      </c>
    </row>
    <row r="36" spans="1:22">
      <c r="A36" s="61" t="s">
        <v>72</v>
      </c>
      <c r="B36" s="120">
        <f t="shared" si="12"/>
        <v>14548125</v>
      </c>
      <c r="C36" s="120">
        <f t="shared" si="12"/>
        <v>11213931.875</v>
      </c>
      <c r="D36" s="120">
        <f t="shared" si="12"/>
        <v>5078727.5999999996</v>
      </c>
      <c r="E36" s="120">
        <f t="shared" si="12"/>
        <v>6237812</v>
      </c>
      <c r="F36" s="120">
        <f t="shared" si="12"/>
        <v>17975625</v>
      </c>
      <c r="G36" s="120">
        <f t="shared" si="12"/>
        <v>6841920.7999999998</v>
      </c>
      <c r="H36" s="120">
        <f t="shared" si="12"/>
        <v>8228795.2999999998</v>
      </c>
      <c r="I36" s="120">
        <f t="shared" si="12"/>
        <v>5551620.5</v>
      </c>
      <c r="J36" s="120">
        <f t="shared" si="12"/>
        <v>9376827.1999999993</v>
      </c>
      <c r="K36" s="120">
        <f t="shared" si="12"/>
        <v>4372217.5</v>
      </c>
      <c r="L36" s="120">
        <f t="shared" si="12"/>
        <v>4811815.2</v>
      </c>
      <c r="M36" s="120">
        <f t="shared" si="10"/>
        <v>14991250</v>
      </c>
      <c r="N36" s="120">
        <f t="shared" si="10"/>
        <v>5720946.25</v>
      </c>
      <c r="O36" s="120">
        <f t="shared" si="10"/>
        <v>5711512</v>
      </c>
      <c r="P36" s="120">
        <f t="shared" si="10"/>
        <v>5351950</v>
      </c>
      <c r="Q36" s="120">
        <f t="shared" si="10"/>
        <v>8165637.5</v>
      </c>
      <c r="R36" s="120">
        <f t="shared" si="10"/>
        <v>8057875</v>
      </c>
      <c r="S36" s="120">
        <f t="shared" si="11"/>
        <v>6257512.5</v>
      </c>
      <c r="T36" s="120">
        <f t="shared" si="11"/>
        <v>6348123.5625</v>
      </c>
      <c r="U36" s="120">
        <f t="shared" si="11"/>
        <v>8687772.5</v>
      </c>
    </row>
    <row r="37" spans="1:22">
      <c r="A37" s="62" t="s">
        <v>73</v>
      </c>
      <c r="B37" s="120">
        <f t="shared" si="12"/>
        <v>14338281.25</v>
      </c>
      <c r="C37" s="120">
        <f t="shared" si="12"/>
        <v>11050261.71875</v>
      </c>
      <c r="D37" s="120">
        <f t="shared" si="12"/>
        <v>5004007.5</v>
      </c>
      <c r="E37" s="120">
        <f t="shared" si="12"/>
        <v>6146525</v>
      </c>
      <c r="F37" s="120">
        <f t="shared" si="12"/>
        <v>17716406.25</v>
      </c>
      <c r="G37" s="120">
        <f t="shared" si="12"/>
        <v>6742685</v>
      </c>
      <c r="H37" s="120">
        <f t="shared" si="12"/>
        <v>8108350.625</v>
      </c>
      <c r="I37" s="120">
        <f t="shared" si="12"/>
        <v>5470678.125</v>
      </c>
      <c r="J37" s="120">
        <f t="shared" si="12"/>
        <v>9240290</v>
      </c>
      <c r="K37" s="120">
        <f t="shared" si="12"/>
        <v>4308109.375</v>
      </c>
      <c r="L37" s="120">
        <f t="shared" si="12"/>
        <v>4741265</v>
      </c>
      <c r="M37" s="120">
        <f t="shared" si="10"/>
        <v>14708062.5</v>
      </c>
      <c r="N37" s="120">
        <f t="shared" si="10"/>
        <v>5612263.8125</v>
      </c>
      <c r="O37" s="120">
        <f t="shared" si="10"/>
        <v>5602986.7999999998</v>
      </c>
      <c r="P37" s="120">
        <f t="shared" si="10"/>
        <v>5249417.5</v>
      </c>
      <c r="Q37" s="120">
        <f t="shared" si="10"/>
        <v>8010376.875</v>
      </c>
      <c r="R37" s="120">
        <f t="shared" si="10"/>
        <v>7910243.75</v>
      </c>
      <c r="S37" s="120">
        <f t="shared" si="11"/>
        <v>6142068.75</v>
      </c>
      <c r="T37" s="120">
        <f t="shared" si="11"/>
        <v>6231218.34375</v>
      </c>
      <c r="U37" s="120">
        <f t="shared" si="11"/>
        <v>8529098.75</v>
      </c>
    </row>
    <row r="38" spans="1:22">
      <c r="A38" s="62" t="s">
        <v>74</v>
      </c>
      <c r="B38" s="120">
        <f t="shared" si="12"/>
        <v>14128437.5</v>
      </c>
      <c r="C38" s="120">
        <f t="shared" si="12"/>
        <v>10886591.5625</v>
      </c>
      <c r="D38" s="120">
        <f t="shared" si="12"/>
        <v>4929287.4000000004</v>
      </c>
      <c r="E38" s="120">
        <f t="shared" si="12"/>
        <v>6055238</v>
      </c>
      <c r="F38" s="120">
        <f t="shared" si="12"/>
        <v>17457187.5</v>
      </c>
      <c r="G38" s="120">
        <f t="shared" si="12"/>
        <v>6643449.2000000002</v>
      </c>
      <c r="H38" s="120">
        <f t="shared" si="12"/>
        <v>7987905.9500000002</v>
      </c>
      <c r="I38" s="120">
        <f t="shared" si="12"/>
        <v>5389735.75</v>
      </c>
      <c r="J38" s="120">
        <f t="shared" si="12"/>
        <v>9103752.8000000007</v>
      </c>
      <c r="K38" s="120">
        <f t="shared" si="12"/>
        <v>4244001.25</v>
      </c>
      <c r="L38" s="120">
        <f t="shared" si="12"/>
        <v>4670714.8</v>
      </c>
      <c r="M38" s="120">
        <f t="shared" si="10"/>
        <v>14424875</v>
      </c>
      <c r="N38" s="120">
        <f t="shared" si="10"/>
        <v>5503581.375</v>
      </c>
      <c r="O38" s="120">
        <f t="shared" si="10"/>
        <v>5494461.5999999996</v>
      </c>
      <c r="P38" s="120">
        <f t="shared" si="10"/>
        <v>5146885</v>
      </c>
      <c r="Q38" s="120">
        <f t="shared" si="10"/>
        <v>7855116.25</v>
      </c>
      <c r="R38" s="120">
        <f t="shared" si="10"/>
        <v>7762612.5</v>
      </c>
      <c r="S38" s="120">
        <f t="shared" si="11"/>
        <v>6026625</v>
      </c>
      <c r="T38" s="120">
        <f t="shared" si="11"/>
        <v>6114313.125</v>
      </c>
      <c r="U38" s="120">
        <f t="shared" si="11"/>
        <v>8370425</v>
      </c>
    </row>
    <row r="39" spans="1:22">
      <c r="A39" s="62" t="s">
        <v>75</v>
      </c>
      <c r="B39" s="120">
        <f t="shared" si="12"/>
        <v>13918593.75</v>
      </c>
      <c r="C39" s="120">
        <f t="shared" si="12"/>
        <v>10722921.40625</v>
      </c>
      <c r="D39" s="120">
        <f t="shared" si="12"/>
        <v>4854567.3</v>
      </c>
      <c r="E39" s="120">
        <f t="shared" si="12"/>
        <v>5963951</v>
      </c>
      <c r="F39" s="120">
        <f t="shared" si="12"/>
        <v>17197968.75</v>
      </c>
      <c r="G39" s="120">
        <f t="shared" si="12"/>
        <v>6544213.4000000004</v>
      </c>
      <c r="H39" s="120">
        <f t="shared" si="12"/>
        <v>7867461.2750000004</v>
      </c>
      <c r="I39" s="120">
        <f t="shared" si="12"/>
        <v>5308793.375</v>
      </c>
      <c r="J39" s="120">
        <f t="shared" si="12"/>
        <v>8967215.5999999996</v>
      </c>
      <c r="K39" s="120">
        <f t="shared" si="12"/>
        <v>4179893.125</v>
      </c>
      <c r="L39" s="120">
        <f t="shared" si="12"/>
        <v>4600164.5999999996</v>
      </c>
      <c r="M39" s="120">
        <f t="shared" si="10"/>
        <v>14141687.5</v>
      </c>
      <c r="N39" s="120">
        <f t="shared" si="10"/>
        <v>5394898.9375</v>
      </c>
      <c r="O39" s="120">
        <f t="shared" si="10"/>
        <v>5385936.4000000004</v>
      </c>
      <c r="P39" s="120">
        <f t="shared" si="10"/>
        <v>5044352.5</v>
      </c>
      <c r="Q39" s="120">
        <f t="shared" si="10"/>
        <v>7699855.625</v>
      </c>
      <c r="R39" s="120">
        <f t="shared" si="10"/>
        <v>7614981.25</v>
      </c>
      <c r="S39" s="120">
        <f t="shared" si="11"/>
        <v>5911181.25</v>
      </c>
      <c r="T39" s="120">
        <f t="shared" si="11"/>
        <v>5997407.90625</v>
      </c>
      <c r="U39" s="120">
        <f t="shared" si="11"/>
        <v>8211751.25</v>
      </c>
    </row>
    <row r="40" spans="1:22">
      <c r="A40" s="62" t="s">
        <v>76</v>
      </c>
      <c r="B40" s="120">
        <f t="shared" si="12"/>
        <v>13708750</v>
      </c>
      <c r="C40" s="120">
        <f t="shared" si="12"/>
        <v>10559251.25</v>
      </c>
      <c r="D40" s="120">
        <f t="shared" si="12"/>
        <v>4779847.2</v>
      </c>
      <c r="E40" s="120">
        <f t="shared" si="12"/>
        <v>5872664</v>
      </c>
      <c r="F40" s="120">
        <f t="shared" si="12"/>
        <v>16938750</v>
      </c>
      <c r="G40" s="120">
        <f t="shared" si="12"/>
        <v>6444977.5999999996</v>
      </c>
      <c r="H40" s="120">
        <f t="shared" si="12"/>
        <v>7747016.5999999996</v>
      </c>
      <c r="I40" s="120">
        <f t="shared" si="12"/>
        <v>5227851</v>
      </c>
      <c r="J40" s="120">
        <f t="shared" si="12"/>
        <v>8830678.4000000004</v>
      </c>
      <c r="K40" s="120">
        <f t="shared" si="12"/>
        <v>4115785</v>
      </c>
      <c r="L40" s="120">
        <f t="shared" si="12"/>
        <v>4529614.4000000004</v>
      </c>
      <c r="M40" s="120">
        <f t="shared" si="10"/>
        <v>13858500</v>
      </c>
      <c r="N40" s="120">
        <f t="shared" si="10"/>
        <v>5286216.5</v>
      </c>
      <c r="O40" s="120">
        <f t="shared" si="10"/>
        <v>5277411.2</v>
      </c>
      <c r="P40" s="120">
        <f t="shared" si="10"/>
        <v>4941820</v>
      </c>
      <c r="Q40" s="120">
        <f t="shared" si="10"/>
        <v>7544595</v>
      </c>
      <c r="R40" s="120">
        <f t="shared" si="10"/>
        <v>7467350</v>
      </c>
      <c r="S40" s="120">
        <f t="shared" si="11"/>
        <v>5795737.5</v>
      </c>
      <c r="T40" s="120">
        <f t="shared" si="11"/>
        <v>5880502.6875</v>
      </c>
      <c r="U40" s="120">
        <f t="shared" si="11"/>
        <v>8053077.5</v>
      </c>
    </row>
    <row r="41" spans="1:22">
      <c r="A41" s="62" t="s">
        <v>77</v>
      </c>
      <c r="B41" s="120">
        <f t="shared" si="12"/>
        <v>13498906.25</v>
      </c>
      <c r="C41" s="120">
        <f t="shared" si="12"/>
        <v>10395581.09375</v>
      </c>
      <c r="D41" s="120">
        <f t="shared" si="12"/>
        <v>4705127.0999999996</v>
      </c>
      <c r="E41" s="120">
        <f t="shared" si="12"/>
        <v>5781377</v>
      </c>
      <c r="F41" s="120">
        <f t="shared" si="12"/>
        <v>16679531.25</v>
      </c>
      <c r="G41" s="120">
        <f t="shared" si="12"/>
        <v>6345741.7999999998</v>
      </c>
      <c r="H41" s="120">
        <f t="shared" si="12"/>
        <v>7626571.9249999998</v>
      </c>
      <c r="I41" s="120">
        <f t="shared" si="12"/>
        <v>5146908.625</v>
      </c>
      <c r="J41" s="120">
        <f t="shared" si="12"/>
        <v>8694141.1999999993</v>
      </c>
      <c r="K41" s="120">
        <f t="shared" si="12"/>
        <v>4051676.875</v>
      </c>
      <c r="L41" s="120">
        <f t="shared" si="12"/>
        <v>4459064.2</v>
      </c>
      <c r="M41" s="120">
        <f t="shared" si="10"/>
        <v>13575312.5</v>
      </c>
      <c r="N41" s="120">
        <f t="shared" si="10"/>
        <v>5177534.0625</v>
      </c>
      <c r="O41" s="120">
        <f t="shared" si="10"/>
        <v>5168886</v>
      </c>
      <c r="P41" s="120">
        <f t="shared" si="10"/>
        <v>4839287.5</v>
      </c>
      <c r="Q41" s="120">
        <f t="shared" si="10"/>
        <v>7389334.375</v>
      </c>
      <c r="R41" s="120">
        <f t="shared" si="10"/>
        <v>7319718.75</v>
      </c>
      <c r="S41" s="120">
        <f t="shared" si="11"/>
        <v>5680293.75</v>
      </c>
      <c r="T41" s="120">
        <f t="shared" si="11"/>
        <v>5763597.46875</v>
      </c>
      <c r="U41" s="120">
        <f t="shared" si="11"/>
        <v>7894403.75</v>
      </c>
    </row>
    <row r="42" spans="1:22">
      <c r="A42" s="62" t="s">
        <v>78</v>
      </c>
      <c r="B42" s="120">
        <f t="shared" si="12"/>
        <v>13289062.5</v>
      </c>
      <c r="C42" s="120">
        <f t="shared" si="12"/>
        <v>10231910.9375</v>
      </c>
      <c r="D42" s="120">
        <f t="shared" si="12"/>
        <v>4630407</v>
      </c>
      <c r="E42" s="120">
        <f t="shared" si="12"/>
        <v>5690090</v>
      </c>
      <c r="F42" s="120">
        <f t="shared" si="12"/>
        <v>16420312.5</v>
      </c>
      <c r="G42" s="120">
        <f t="shared" si="12"/>
        <v>6246506</v>
      </c>
      <c r="H42" s="120">
        <f t="shared" si="12"/>
        <v>7506127.25</v>
      </c>
      <c r="I42" s="120">
        <f t="shared" si="12"/>
        <v>5065966.25</v>
      </c>
      <c r="J42" s="120">
        <f t="shared" si="12"/>
        <v>8557604</v>
      </c>
      <c r="K42" s="120">
        <f t="shared" si="12"/>
        <v>3987568.75</v>
      </c>
      <c r="L42" s="120">
        <f t="shared" si="12"/>
        <v>4388514</v>
      </c>
      <c r="M42" s="120">
        <f t="shared" si="10"/>
        <v>13292125</v>
      </c>
      <c r="N42" s="120">
        <f>($D20*N$25)-N$28-($D20*N$25*N$26)</f>
        <v>5068851.625</v>
      </c>
      <c r="O42" s="120">
        <f t="shared" si="10"/>
        <v>5060360.8</v>
      </c>
      <c r="P42" s="120">
        <f t="shared" si="10"/>
        <v>4736755</v>
      </c>
      <c r="Q42" s="120">
        <f t="shared" si="10"/>
        <v>7234073.75</v>
      </c>
      <c r="R42" s="120">
        <f t="shared" si="10"/>
        <v>7172087.5</v>
      </c>
      <c r="S42" s="120">
        <f>($E20*S$25)-S$28-($E20*S$25*S$26)</f>
        <v>5564850</v>
      </c>
      <c r="T42" s="120">
        <f>($E20*T$25)-T$28-($E20*T$25*T$26)</f>
        <v>5646692.25</v>
      </c>
      <c r="U42" s="120">
        <f t="shared" si="11"/>
        <v>7735730</v>
      </c>
    </row>
    <row r="48" spans="1:22">
      <c r="A48" s="84"/>
      <c r="B48" s="274" t="s">
        <v>98</v>
      </c>
      <c r="C48" s="275"/>
      <c r="D48" s="275"/>
      <c r="E48" s="275"/>
      <c r="F48" s="275"/>
      <c r="G48" s="275"/>
      <c r="H48" s="275"/>
      <c r="I48" s="275"/>
      <c r="J48" s="275"/>
      <c r="K48" s="275"/>
      <c r="L48" s="275"/>
      <c r="M48" s="275"/>
      <c r="N48" s="275"/>
      <c r="O48" s="275"/>
      <c r="P48" s="275"/>
      <c r="Q48" s="275"/>
      <c r="R48" s="275"/>
      <c r="S48" s="275"/>
      <c r="T48" s="275"/>
      <c r="U48" s="275"/>
      <c r="V48" s="276"/>
    </row>
    <row r="49" spans="1:22">
      <c r="A49" s="85" t="s">
        <v>99</v>
      </c>
      <c r="B49" s="86">
        <v>1</v>
      </c>
      <c r="C49" s="86">
        <v>2</v>
      </c>
      <c r="D49" s="86">
        <v>3</v>
      </c>
      <c r="E49" s="86">
        <v>4</v>
      </c>
      <c r="F49" s="86">
        <v>5</v>
      </c>
      <c r="G49" s="86">
        <v>6</v>
      </c>
      <c r="H49" s="86">
        <v>7</v>
      </c>
      <c r="I49" s="86">
        <v>8</v>
      </c>
      <c r="J49" s="86">
        <v>9</v>
      </c>
      <c r="K49" s="86">
        <v>10</v>
      </c>
      <c r="L49" s="86">
        <v>11</v>
      </c>
      <c r="M49" s="86">
        <v>12</v>
      </c>
      <c r="N49" s="86">
        <v>13</v>
      </c>
      <c r="O49" s="86">
        <v>14</v>
      </c>
      <c r="P49" s="86">
        <v>15</v>
      </c>
      <c r="Q49" s="86">
        <v>16</v>
      </c>
      <c r="R49" s="86">
        <v>17</v>
      </c>
      <c r="S49" s="86">
        <v>18</v>
      </c>
      <c r="T49" s="86">
        <v>19</v>
      </c>
      <c r="U49" s="86">
        <v>20</v>
      </c>
      <c r="V49" s="87" t="s">
        <v>94</v>
      </c>
    </row>
    <row r="50" spans="1:22">
      <c r="A50" s="86" t="s">
        <v>69</v>
      </c>
      <c r="B50" s="88">
        <v>0</v>
      </c>
      <c r="C50" s="88">
        <v>0</v>
      </c>
      <c r="D50" s="88">
        <v>0</v>
      </c>
      <c r="E50" s="88">
        <v>0</v>
      </c>
      <c r="F50" s="88">
        <v>0</v>
      </c>
      <c r="G50" s="88">
        <v>0</v>
      </c>
      <c r="H50" s="88">
        <v>0</v>
      </c>
      <c r="I50" s="88">
        <v>0</v>
      </c>
      <c r="J50" s="88">
        <v>0</v>
      </c>
      <c r="K50" s="88">
        <v>0</v>
      </c>
      <c r="L50" s="88">
        <v>0</v>
      </c>
      <c r="M50" s="88">
        <v>2</v>
      </c>
      <c r="N50" s="88">
        <v>0</v>
      </c>
      <c r="O50" s="88">
        <v>0</v>
      </c>
      <c r="P50" s="88">
        <v>0</v>
      </c>
      <c r="Q50" s="88">
        <v>2</v>
      </c>
      <c r="R50" s="88">
        <v>2</v>
      </c>
      <c r="S50" s="88">
        <v>0</v>
      </c>
      <c r="T50" s="88">
        <v>0</v>
      </c>
      <c r="U50" s="88">
        <v>0</v>
      </c>
      <c r="V50" s="89">
        <f>SUM(B50:U50)</f>
        <v>6</v>
      </c>
    </row>
    <row r="51" spans="1:22">
      <c r="A51" s="86" t="s">
        <v>70</v>
      </c>
      <c r="B51" s="88">
        <v>2</v>
      </c>
      <c r="C51" s="88">
        <v>2</v>
      </c>
      <c r="D51" s="88">
        <v>0</v>
      </c>
      <c r="E51" s="88">
        <v>0</v>
      </c>
      <c r="F51" s="88">
        <v>2</v>
      </c>
      <c r="G51" s="88">
        <v>0</v>
      </c>
      <c r="H51" s="88">
        <v>0</v>
      </c>
      <c r="I51" s="88">
        <v>0</v>
      </c>
      <c r="J51" s="88">
        <v>0</v>
      </c>
      <c r="K51" s="88">
        <v>0</v>
      </c>
      <c r="L51" s="88">
        <v>0</v>
      </c>
      <c r="M51" s="88">
        <v>0</v>
      </c>
      <c r="N51" s="88">
        <v>0</v>
      </c>
      <c r="O51" s="88">
        <v>0</v>
      </c>
      <c r="P51" s="88">
        <v>0</v>
      </c>
      <c r="Q51" s="88">
        <v>0</v>
      </c>
      <c r="R51" s="88">
        <v>0</v>
      </c>
      <c r="S51" s="88">
        <v>0</v>
      </c>
      <c r="T51" s="88">
        <v>0</v>
      </c>
      <c r="U51" s="88">
        <v>0</v>
      </c>
      <c r="V51" s="89">
        <f t="shared" ref="V51:V59" si="13">SUM(B51:U51)</f>
        <v>6</v>
      </c>
    </row>
    <row r="52" spans="1:22">
      <c r="A52" s="86" t="s">
        <v>71</v>
      </c>
      <c r="B52" s="88">
        <v>2</v>
      </c>
      <c r="C52" s="88">
        <v>1</v>
      </c>
      <c r="D52" s="88">
        <v>0</v>
      </c>
      <c r="E52" s="88">
        <v>0</v>
      </c>
      <c r="F52" s="88">
        <v>2</v>
      </c>
      <c r="G52" s="88">
        <v>0</v>
      </c>
      <c r="H52" s="88">
        <v>0</v>
      </c>
      <c r="I52" s="88">
        <v>0</v>
      </c>
      <c r="J52" s="88">
        <v>0</v>
      </c>
      <c r="K52" s="88">
        <v>0</v>
      </c>
      <c r="L52" s="88">
        <v>0</v>
      </c>
      <c r="M52" s="88">
        <v>0</v>
      </c>
      <c r="N52" s="88">
        <v>0</v>
      </c>
      <c r="O52" s="88">
        <v>0</v>
      </c>
      <c r="P52" s="88">
        <v>0</v>
      </c>
      <c r="Q52" s="88">
        <v>0</v>
      </c>
      <c r="R52" s="88">
        <v>0</v>
      </c>
      <c r="S52" s="88">
        <v>0</v>
      </c>
      <c r="T52" s="88">
        <v>0</v>
      </c>
      <c r="U52" s="88">
        <v>1</v>
      </c>
      <c r="V52" s="89">
        <f t="shared" si="13"/>
        <v>6</v>
      </c>
    </row>
    <row r="53" spans="1:22">
      <c r="A53" s="86" t="s">
        <v>72</v>
      </c>
      <c r="B53" s="88">
        <v>0</v>
      </c>
      <c r="C53" s="88">
        <v>0</v>
      </c>
      <c r="D53" s="88">
        <v>0</v>
      </c>
      <c r="E53" s="88">
        <v>0</v>
      </c>
      <c r="F53" s="88">
        <v>0</v>
      </c>
      <c r="G53" s="88">
        <v>0</v>
      </c>
      <c r="H53" s="88">
        <v>0</v>
      </c>
      <c r="I53" s="88">
        <v>0</v>
      </c>
      <c r="J53" s="88">
        <v>0</v>
      </c>
      <c r="K53" s="88">
        <v>0</v>
      </c>
      <c r="L53" s="88">
        <v>0</v>
      </c>
      <c r="M53" s="88">
        <v>2</v>
      </c>
      <c r="N53" s="88">
        <v>0</v>
      </c>
      <c r="O53" s="88">
        <v>0</v>
      </c>
      <c r="P53" s="88">
        <v>0</v>
      </c>
      <c r="Q53" s="88">
        <v>2</v>
      </c>
      <c r="R53" s="88">
        <v>2</v>
      </c>
      <c r="S53" s="88">
        <v>0</v>
      </c>
      <c r="T53" s="88">
        <v>0</v>
      </c>
      <c r="U53" s="88">
        <v>0</v>
      </c>
      <c r="V53" s="89">
        <f t="shared" si="13"/>
        <v>6</v>
      </c>
    </row>
    <row r="54" spans="1:22">
      <c r="A54" s="86" t="s">
        <v>73</v>
      </c>
      <c r="B54" s="88">
        <v>1</v>
      </c>
      <c r="C54" s="88">
        <v>1</v>
      </c>
      <c r="D54" s="88">
        <v>0</v>
      </c>
      <c r="E54" s="88">
        <v>0</v>
      </c>
      <c r="F54" s="88">
        <v>1</v>
      </c>
      <c r="G54" s="88">
        <v>0</v>
      </c>
      <c r="H54" s="88">
        <v>0</v>
      </c>
      <c r="I54" s="88">
        <v>0</v>
      </c>
      <c r="J54" s="88">
        <v>1</v>
      </c>
      <c r="K54" s="88">
        <v>0</v>
      </c>
      <c r="L54" s="88">
        <v>0</v>
      </c>
      <c r="M54" s="88">
        <v>0</v>
      </c>
      <c r="N54" s="88">
        <v>0</v>
      </c>
      <c r="O54" s="88">
        <v>0</v>
      </c>
      <c r="P54" s="88">
        <v>0</v>
      </c>
      <c r="Q54" s="88">
        <v>0</v>
      </c>
      <c r="R54" s="88">
        <v>0</v>
      </c>
      <c r="S54" s="88">
        <v>0</v>
      </c>
      <c r="T54" s="88">
        <v>0</v>
      </c>
      <c r="U54" s="88">
        <v>2</v>
      </c>
      <c r="V54" s="89">
        <f t="shared" si="13"/>
        <v>6</v>
      </c>
    </row>
    <row r="55" spans="1:22">
      <c r="A55" s="86" t="s">
        <v>74</v>
      </c>
      <c r="B55" s="88">
        <v>0</v>
      </c>
      <c r="C55" s="88">
        <v>1</v>
      </c>
      <c r="D55" s="88">
        <v>0</v>
      </c>
      <c r="E55" s="88">
        <v>0</v>
      </c>
      <c r="F55" s="88">
        <v>0</v>
      </c>
      <c r="G55" s="88">
        <v>0</v>
      </c>
      <c r="H55" s="88">
        <v>1</v>
      </c>
      <c r="I55" s="88">
        <v>0</v>
      </c>
      <c r="J55" s="88">
        <v>2</v>
      </c>
      <c r="K55" s="88">
        <v>0</v>
      </c>
      <c r="L55" s="88">
        <v>0</v>
      </c>
      <c r="M55" s="88">
        <v>0</v>
      </c>
      <c r="N55" s="88">
        <v>0</v>
      </c>
      <c r="O55" s="88">
        <v>0</v>
      </c>
      <c r="P55" s="88">
        <v>0</v>
      </c>
      <c r="Q55" s="88">
        <v>0</v>
      </c>
      <c r="R55" s="88">
        <v>0</v>
      </c>
      <c r="S55" s="88">
        <v>0</v>
      </c>
      <c r="T55" s="88">
        <v>0</v>
      </c>
      <c r="U55" s="88">
        <v>2</v>
      </c>
      <c r="V55" s="89">
        <f t="shared" si="13"/>
        <v>6</v>
      </c>
    </row>
    <row r="56" spans="1:22">
      <c r="A56" s="86" t="s">
        <v>75</v>
      </c>
      <c r="B56" s="88">
        <v>0</v>
      </c>
      <c r="C56" s="88">
        <v>0</v>
      </c>
      <c r="D56" s="88">
        <v>0</v>
      </c>
      <c r="E56" s="88">
        <v>0</v>
      </c>
      <c r="F56" s="88">
        <v>0</v>
      </c>
      <c r="G56" s="88">
        <v>1</v>
      </c>
      <c r="H56" s="88">
        <v>2</v>
      </c>
      <c r="I56" s="88">
        <v>0</v>
      </c>
      <c r="J56" s="88">
        <v>2</v>
      </c>
      <c r="K56" s="88">
        <v>0</v>
      </c>
      <c r="L56" s="88">
        <v>0</v>
      </c>
      <c r="M56" s="88">
        <v>0</v>
      </c>
      <c r="N56" s="88">
        <v>0</v>
      </c>
      <c r="O56" s="88">
        <v>0</v>
      </c>
      <c r="P56" s="88">
        <v>0</v>
      </c>
      <c r="Q56" s="88">
        <v>0</v>
      </c>
      <c r="R56" s="88">
        <v>0</v>
      </c>
      <c r="S56" s="88">
        <v>0</v>
      </c>
      <c r="T56" s="88">
        <v>1</v>
      </c>
      <c r="U56" s="88">
        <v>0</v>
      </c>
      <c r="V56" s="89">
        <f t="shared" si="13"/>
        <v>6</v>
      </c>
    </row>
    <row r="57" spans="1:22">
      <c r="A57" s="86" t="s">
        <v>76</v>
      </c>
      <c r="B57" s="88">
        <v>0</v>
      </c>
      <c r="C57" s="88">
        <v>0</v>
      </c>
      <c r="D57" s="88">
        <v>0</v>
      </c>
      <c r="E57" s="88">
        <v>1</v>
      </c>
      <c r="F57" s="88">
        <v>0</v>
      </c>
      <c r="G57" s="88">
        <v>2</v>
      </c>
      <c r="H57" s="88">
        <v>2</v>
      </c>
      <c r="I57" s="88">
        <v>0</v>
      </c>
      <c r="J57" s="88">
        <v>0</v>
      </c>
      <c r="K57" s="88">
        <v>0</v>
      </c>
      <c r="L57" s="88">
        <v>0</v>
      </c>
      <c r="M57" s="88">
        <v>0</v>
      </c>
      <c r="N57" s="88">
        <v>0</v>
      </c>
      <c r="O57" s="88">
        <v>0</v>
      </c>
      <c r="P57" s="88">
        <v>0</v>
      </c>
      <c r="Q57" s="88">
        <v>0</v>
      </c>
      <c r="R57" s="88">
        <v>0</v>
      </c>
      <c r="S57" s="88">
        <v>1</v>
      </c>
      <c r="T57" s="88">
        <v>0</v>
      </c>
      <c r="U57" s="88">
        <v>0</v>
      </c>
      <c r="V57" s="89">
        <f t="shared" si="13"/>
        <v>6</v>
      </c>
    </row>
    <row r="58" spans="1:22">
      <c r="A58" s="86" t="s">
        <v>77</v>
      </c>
      <c r="B58" s="88">
        <v>0</v>
      </c>
      <c r="C58" s="88">
        <v>0</v>
      </c>
      <c r="D58" s="88">
        <v>1</v>
      </c>
      <c r="E58" s="88">
        <v>0</v>
      </c>
      <c r="F58" s="88">
        <v>0</v>
      </c>
      <c r="G58" s="88">
        <v>2</v>
      </c>
      <c r="H58" s="88">
        <v>0</v>
      </c>
      <c r="I58" s="88">
        <v>1</v>
      </c>
      <c r="J58" s="88">
        <v>0</v>
      </c>
      <c r="K58" s="88">
        <v>1</v>
      </c>
      <c r="L58" s="88">
        <v>1</v>
      </c>
      <c r="M58" s="88">
        <v>0</v>
      </c>
      <c r="N58" s="88">
        <v>0</v>
      </c>
      <c r="O58" s="88">
        <v>0</v>
      </c>
      <c r="P58" s="88">
        <v>0</v>
      </c>
      <c r="Q58" s="88">
        <v>0</v>
      </c>
      <c r="R58" s="88">
        <v>0</v>
      </c>
      <c r="S58" s="88">
        <v>0</v>
      </c>
      <c r="T58" s="88">
        <v>0</v>
      </c>
      <c r="U58" s="88">
        <v>0</v>
      </c>
      <c r="V58" s="89">
        <f t="shared" si="13"/>
        <v>6</v>
      </c>
    </row>
    <row r="59" spans="1:22">
      <c r="A59" s="86" t="s">
        <v>78</v>
      </c>
      <c r="B59" s="90">
        <v>0</v>
      </c>
      <c r="C59" s="90">
        <v>0</v>
      </c>
      <c r="D59" s="90">
        <v>0</v>
      </c>
      <c r="E59" s="90">
        <v>0</v>
      </c>
      <c r="F59" s="90">
        <v>0</v>
      </c>
      <c r="G59" s="90">
        <v>0</v>
      </c>
      <c r="H59" s="90">
        <v>0</v>
      </c>
      <c r="I59" s="90">
        <v>0</v>
      </c>
      <c r="J59" s="90">
        <v>0</v>
      </c>
      <c r="K59" s="90">
        <v>0</v>
      </c>
      <c r="L59" s="90">
        <v>0</v>
      </c>
      <c r="M59" s="90">
        <v>1</v>
      </c>
      <c r="N59" s="90">
        <v>1</v>
      </c>
      <c r="O59" s="90">
        <v>1</v>
      </c>
      <c r="P59" s="90">
        <v>1</v>
      </c>
      <c r="Q59" s="90">
        <v>1</v>
      </c>
      <c r="R59" s="90">
        <v>1</v>
      </c>
      <c r="S59" s="90">
        <v>0</v>
      </c>
      <c r="T59" s="90">
        <v>0</v>
      </c>
      <c r="U59" s="90">
        <v>0</v>
      </c>
      <c r="V59" s="89">
        <f t="shared" si="13"/>
        <v>6</v>
      </c>
    </row>
    <row r="60" spans="1:22">
      <c r="A60" s="87" t="s">
        <v>94</v>
      </c>
      <c r="B60" s="91">
        <f>SUM(B50:B59)</f>
        <v>5</v>
      </c>
      <c r="C60" s="92">
        <f t="shared" ref="C60:T60" si="14">SUM(C50:C59)</f>
        <v>5</v>
      </c>
      <c r="D60" s="92">
        <f t="shared" si="14"/>
        <v>1</v>
      </c>
      <c r="E60" s="92">
        <f t="shared" si="14"/>
        <v>1</v>
      </c>
      <c r="F60" s="92">
        <f t="shared" si="14"/>
        <v>5</v>
      </c>
      <c r="G60" s="92">
        <f t="shared" si="14"/>
        <v>5</v>
      </c>
      <c r="H60" s="92">
        <f t="shared" si="14"/>
        <v>5</v>
      </c>
      <c r="I60" s="92">
        <f t="shared" si="14"/>
        <v>1</v>
      </c>
      <c r="J60" s="92">
        <f t="shared" si="14"/>
        <v>5</v>
      </c>
      <c r="K60" s="92">
        <f t="shared" si="14"/>
        <v>1</v>
      </c>
      <c r="L60" s="92">
        <f t="shared" si="14"/>
        <v>1</v>
      </c>
      <c r="M60" s="92">
        <f t="shared" si="14"/>
        <v>5</v>
      </c>
      <c r="N60" s="92">
        <f t="shared" si="14"/>
        <v>1</v>
      </c>
      <c r="O60" s="92">
        <f t="shared" si="14"/>
        <v>1</v>
      </c>
      <c r="P60" s="92">
        <f t="shared" si="14"/>
        <v>1</v>
      </c>
      <c r="Q60" s="92">
        <f t="shared" si="14"/>
        <v>5</v>
      </c>
      <c r="R60" s="92">
        <f t="shared" si="14"/>
        <v>5</v>
      </c>
      <c r="S60" s="92">
        <f t="shared" si="14"/>
        <v>1</v>
      </c>
      <c r="T60" s="92">
        <f t="shared" si="14"/>
        <v>1</v>
      </c>
      <c r="U60" s="92">
        <f>SUM(U50:U59)</f>
        <v>5</v>
      </c>
      <c r="V60" s="93">
        <f>SUM(B60:U60)</f>
        <v>60</v>
      </c>
    </row>
    <row r="61" spans="1:22" ht="14.65" thickBot="1"/>
    <row r="62" spans="1:22">
      <c r="B62" s="111" t="s">
        <v>110</v>
      </c>
      <c r="C62" s="111"/>
      <c r="D62" s="111"/>
      <c r="E62" s="111">
        <f>SUM(B60:L60,S60:U60)</f>
        <v>42</v>
      </c>
      <c r="F62" s="103" t="s">
        <v>101</v>
      </c>
      <c r="G62" s="113">
        <v>41</v>
      </c>
      <c r="H62" s="103" t="s">
        <v>102</v>
      </c>
      <c r="I62" s="113">
        <v>43</v>
      </c>
      <c r="M62" s="114" t="s">
        <v>103</v>
      </c>
      <c r="N62" s="114"/>
      <c r="O62" s="115"/>
      <c r="P62" s="104">
        <f>SUM(B60:L60,S60:U60)/V60</f>
        <v>0.7</v>
      </c>
      <c r="Q62" s="110" t="s">
        <v>104</v>
      </c>
      <c r="R62" s="105">
        <f>14/20</f>
        <v>0.7</v>
      </c>
    </row>
    <row r="63" spans="1:22">
      <c r="B63" s="111" t="s">
        <v>105</v>
      </c>
      <c r="C63" s="111"/>
      <c r="D63" s="111"/>
      <c r="E63" s="111">
        <f>SUM(M60:R60)</f>
        <v>18</v>
      </c>
      <c r="F63" s="103" t="s">
        <v>101</v>
      </c>
      <c r="G63" s="113">
        <v>17</v>
      </c>
      <c r="H63" s="103" t="s">
        <v>102</v>
      </c>
      <c r="I63" s="113">
        <v>19</v>
      </c>
      <c r="M63" s="114" t="s">
        <v>106</v>
      </c>
      <c r="N63" s="114"/>
      <c r="O63" s="116"/>
      <c r="P63" s="118">
        <f>SUM(M60:R60)/V60</f>
        <v>0.3</v>
      </c>
      <c r="Q63" s="110" t="s">
        <v>104</v>
      </c>
      <c r="R63" s="119">
        <f>6/20</f>
        <v>0.3</v>
      </c>
    </row>
    <row r="66" spans="1:2">
      <c r="A66" s="277" t="s">
        <v>84</v>
      </c>
      <c r="B66" s="277"/>
    </row>
    <row r="67" spans="1:2">
      <c r="A67" s="278">
        <f>SUMPRODUCT(B33:U42,B50:U59)</f>
        <v>587699662.76874995</v>
      </c>
      <c r="B67" s="278"/>
    </row>
  </sheetData>
  <mergeCells count="4">
    <mergeCell ref="B31:U31"/>
    <mergeCell ref="B48:V48"/>
    <mergeCell ref="A66:B66"/>
    <mergeCell ref="A67:B6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ABA33-41F4-47D6-B1B5-EB08921BB272}">
  <dimension ref="A2:Z79"/>
  <sheetViews>
    <sheetView topLeftCell="A44" zoomScale="101" workbookViewId="0">
      <selection activeCell="D69" sqref="D69"/>
    </sheetView>
  </sheetViews>
  <sheetFormatPr baseColWidth="10" defaultRowHeight="14.25"/>
  <cols>
    <col min="1" max="1" width="12.73046875" customWidth="1"/>
    <col min="4" max="4" width="17.1328125" customWidth="1"/>
    <col min="5" max="5" width="14.1328125" bestFit="1" customWidth="1"/>
    <col min="8" max="8" width="17.3984375" customWidth="1"/>
    <col min="9" max="9" width="16.1328125" customWidth="1"/>
    <col min="10" max="10" width="16.86328125" customWidth="1"/>
    <col min="11" max="11" width="14.1328125" customWidth="1"/>
    <col min="13" max="13" width="12.73046875" customWidth="1"/>
    <col min="15" max="15" width="10.86328125" customWidth="1"/>
    <col min="16" max="16" width="17.1328125" customWidth="1"/>
    <col min="17" max="17" width="12.3984375" customWidth="1"/>
    <col min="20" max="21" width="16.73046875" customWidth="1"/>
    <col min="22" max="22" width="11.1328125" customWidth="1"/>
    <col min="23" max="23" width="18.265625" customWidth="1"/>
    <col min="24" max="24" width="14.73046875" customWidth="1"/>
    <col min="25" max="25" width="15.73046875" customWidth="1"/>
    <col min="26" max="26" width="14.1328125" customWidth="1"/>
  </cols>
  <sheetData>
    <row r="2" spans="1:25">
      <c r="E2" s="127" t="s">
        <v>79</v>
      </c>
      <c r="Q2" s="127" t="s">
        <v>1409</v>
      </c>
    </row>
    <row r="4" spans="1:25">
      <c r="A4" s="177" t="s">
        <v>1405</v>
      </c>
      <c r="B4" s="178" t="s">
        <v>97</v>
      </c>
      <c r="C4" s="178" t="s">
        <v>16</v>
      </c>
      <c r="D4" s="178" t="s">
        <v>1403</v>
      </c>
      <c r="E4" s="178" t="s">
        <v>68</v>
      </c>
      <c r="F4" s="178" t="s">
        <v>1404</v>
      </c>
      <c r="G4" s="178" t="s">
        <v>1406</v>
      </c>
      <c r="H4" s="178" t="s">
        <v>111</v>
      </c>
      <c r="I4" s="178" t="s">
        <v>1407</v>
      </c>
      <c r="J4" s="178" t="s">
        <v>112</v>
      </c>
      <c r="K4" s="178" t="s">
        <v>1454</v>
      </c>
      <c r="M4" s="177" t="s">
        <v>1405</v>
      </c>
      <c r="N4" s="178" t="s">
        <v>97</v>
      </c>
      <c r="O4" s="178" t="s">
        <v>16</v>
      </c>
      <c r="P4" s="178" t="s">
        <v>1403</v>
      </c>
      <c r="Q4" s="178" t="s">
        <v>68</v>
      </c>
      <c r="R4" s="178" t="s">
        <v>1404</v>
      </c>
      <c r="S4" s="178" t="s">
        <v>1406</v>
      </c>
      <c r="T4" s="178" t="s">
        <v>111</v>
      </c>
      <c r="U4" s="178" t="s">
        <v>1407</v>
      </c>
      <c r="V4" s="178" t="s">
        <v>109</v>
      </c>
      <c r="W4" s="178" t="s">
        <v>1408</v>
      </c>
      <c r="X4" s="178" t="s">
        <v>112</v>
      </c>
      <c r="Y4" s="178" t="s">
        <v>1453</v>
      </c>
    </row>
    <row r="5" spans="1:25">
      <c r="A5" s="172">
        <v>1</v>
      </c>
      <c r="B5" s="162" t="s">
        <v>69</v>
      </c>
      <c r="C5" s="162" t="str" cm="1">
        <f t="array" ref="C5">_xlfn.IFS(A5&lt;=11,"Espagne",A5&lt;=17,"Maroc",A5&lt;=20,"Portugal")</f>
        <v>Espagne</v>
      </c>
      <c r="D5" s="163" cm="1">
        <f t="array" ref="D5">_xlfn.IFS(A5=1,85000,A5=5,105000,A5=12,115000,A5=2,66975,A5=20,64600,A5=16,63050,A5=9,55872,A5=17,59800,A5=7,49036,A5=14,44296,A5=18,47000,A5=19,47595,A5=4,37260,A5=6,40608,A5=13,44135,A5=15,41850,A5=3,30576,A5=8,32870,A5=10,26100,A5=11,28796)</f>
        <v>85000</v>
      </c>
      <c r="E5" s="164" cm="1">
        <f t="array" ref="E5">_xlfn.IFS(B5="A",22.5,B5="B",20,B5="C",17.5,B5="D",15,B5="E",12.5,B5="F",10,B5="G",7.5,B5="H",5,B5="I",2.5,B5="J",0)</f>
        <v>22.5</v>
      </c>
      <c r="F5" s="164" cm="1">
        <f t="array" ref="F5">_xlfn.IFS(C5="Espagne",175,C5="Maroc",135,C5="Portugal",140)</f>
        <v>175</v>
      </c>
      <c r="G5" s="165">
        <f>E5+F5</f>
        <v>197.5</v>
      </c>
      <c r="H5" s="165">
        <f>G5*D5</f>
        <v>16787500</v>
      </c>
      <c r="I5" s="166" cm="1">
        <f t="array" ref="I5">_xlfn.IFS(A5=1,1400000,A5=5,1725000,A5=12,2000000,A5=2,1225000,A5=20,1150000,A5=16,1150000,A5=9,1000000,A5=17,800000,A5=7,925000,A5=14,800000,A5=18,900000,A5=19,900000,A5=4,700000,A5=6,700000,A5=13,800000,A5=15,800000,A5=3,600000,A5=8,600000,A5=10,500000,A5=11,550000)</f>
        <v>1400000</v>
      </c>
      <c r="J5" s="165">
        <f>H5-I5</f>
        <v>15387500</v>
      </c>
      <c r="K5" s="174">
        <f>IF(Comparaison!$D5&lt;=50000,0,1)</f>
        <v>1</v>
      </c>
      <c r="M5" s="172">
        <v>12</v>
      </c>
      <c r="N5" s="162" t="s">
        <v>69</v>
      </c>
      <c r="O5" s="162" t="str" cm="1">
        <f t="array" ref="O5">_xlfn.IFS(M5&lt;=11,"Espagne",M5&lt;=17,"Maroc",M5&lt;=20,"Portugal")</f>
        <v>Maroc</v>
      </c>
      <c r="P5" s="163" cm="1">
        <f t="array" ref="P5">_xlfn.IFS(M5=1,85000,M5=5,105000,M5=12,115000,M5=2,66975,M5=20,64600,M5=16,63050,M5=9,55872,M5=17,59800,M5=7,49036,M5=14,44296,M5=18,47000,M5=19,47595,M5=4,37260,M5=6,40608,M5=13,44135,M5=15,41850,M5=3,30576,M5=8,32870,M5=10,26100,M5=11,28796)</f>
        <v>115000</v>
      </c>
      <c r="Q5" s="164" cm="1">
        <f t="array" ref="Q5">_xlfn.IFS(N5="A",22.5,N5="B",20,N5="C",17.5,N5="D",15,N5="E",12.5,N5="F",10,N5="G",7.5,N5="H",5,N5="I",2.5,N5="J",0)</f>
        <v>22.5</v>
      </c>
      <c r="R5" s="164" cm="1">
        <f t="array" ref="R5">_xlfn.IFS(O5="Espagne",175,O5="Maroc",135,O5="Portugal",140)</f>
        <v>135</v>
      </c>
      <c r="S5" s="165">
        <f t="shared" ref="S5:S36" si="0">Q5+R5</f>
        <v>157.5</v>
      </c>
      <c r="T5" s="165">
        <f t="shared" ref="T5:T36" si="1">S5*P5</f>
        <v>18112500</v>
      </c>
      <c r="U5" s="166" cm="1">
        <f t="array" ref="U5">_xlfn.IFS(M5=1,1400000,M5=5,1725000,M5=12,2000000,M5=2,1225000,M5=20,1150000,M5=16,1150000,M5=9,1000000,M5=17,800000,M5=7,925000,M5=14,800000,M5=18,900000,M5=19,900000,M5=4,700000,M5=6,700000,M5=13,800000,M5=15,800000,M5=3,600000,M5=8,600000,M5=10,500000,M5=11,550000)</f>
        <v>2000000</v>
      </c>
      <c r="V5" s="179" cm="1">
        <f t="array" ref="V5">_xlfn.IFS(M5=1,1.25%,M5=5,1.25%,M5=12,1.5%,M5=2,2.25%,M5=20,1.75%,M5=16,1.5%,M5=9,2.25%,M5=17,1.25%,M5=7,1.75%,M5=14,2%,M5=18,1.75%,M5=19,1.75%,M5=4,2%,M5=6,2.25%,M5=13,1.5%,M5=15,2%,M5=3,2.25%,M5=8,1.5%,M5=10,1.75%,M5=11,2%)</f>
        <v>1.4999999999999999E-2</v>
      </c>
      <c r="W5" s="165">
        <f>Comparaison!$V5*Comparaison!$S5*Comparaison!$P5</f>
        <v>271687.5</v>
      </c>
      <c r="X5" s="165">
        <f>T5-Comparaison!$U5-Comparaison!$W5</f>
        <v>15840812.5</v>
      </c>
      <c r="Y5" s="174">
        <f>IF(Comparaison!$P5&lt;=50000,0,1)</f>
        <v>1</v>
      </c>
    </row>
    <row r="6" spans="1:25">
      <c r="A6" s="173">
        <v>1</v>
      </c>
      <c r="B6" s="167" t="s">
        <v>69</v>
      </c>
      <c r="C6" s="167" t="str" cm="1">
        <f t="array" ref="C6">_xlfn.IFS(A6&lt;=11,"Espagne",A6&lt;=17,"Maroc",A6&lt;=20,"Portugal")</f>
        <v>Espagne</v>
      </c>
      <c r="D6" s="168" cm="1">
        <f t="array" ref="D6">_xlfn.IFS(A6=1,85000,A6=5,105000,A6=12,115000,A6=2,66975,A6=20,64600,A6=16,63050,A6=9,55872,A6=17,59800,A6=7,49036,A6=14,44296,A6=18,47000,A6=19,47595,A6=4,37260,A6=6,40608,A6=13,44135,A6=15,41850,A6=3,30576,A6=8,32870,A6=10,26100,A6=11,28796)</f>
        <v>85000</v>
      </c>
      <c r="E6" s="169" cm="1">
        <f t="array" ref="E6">_xlfn.IFS(B6="A",22.5,B6="B",20,B6="C",17.5,B6="D",15,B6="E",12.5,B6="F",10,B6="G",7.5,B6="H",5,B6="I",2.5,B6="J",0)</f>
        <v>22.5</v>
      </c>
      <c r="F6" s="169" cm="1">
        <f t="array" ref="F6">_xlfn.IFS(C6="Espagne",175,C6="Maroc",135,C6="Portugal",140)</f>
        <v>175</v>
      </c>
      <c r="G6" s="170">
        <f t="shared" ref="G6:G64" si="2">E6+F6</f>
        <v>197.5</v>
      </c>
      <c r="H6" s="170">
        <f t="shared" ref="H6:H64" si="3">G6*D6</f>
        <v>16787500</v>
      </c>
      <c r="I6" s="171" cm="1">
        <f t="array" ref="I6">_xlfn.IFS(A6=1,1400000,A6=5,1725000,A6=12,2000000,A6=2,1225000,A6=20,1150000,A6=16,1150000,A6=9,1000000,A6=17,800000,A6=7,925000,A6=14,800000,A6=18,900000,A6=19,900000,A6=4,700000,A6=6,700000,A6=13,800000,A6=15,800000,A6=3,600000,A6=8,600000,A6=10,500000,A6=11,550000)</f>
        <v>1400000</v>
      </c>
      <c r="J6" s="170">
        <f t="shared" ref="J6:J64" si="4">H6-I6</f>
        <v>15387500</v>
      </c>
      <c r="K6" s="175">
        <f>IF(Comparaison!$D6&lt;=50000,0,1)</f>
        <v>1</v>
      </c>
      <c r="M6" s="173">
        <v>12</v>
      </c>
      <c r="N6" s="167" t="s">
        <v>69</v>
      </c>
      <c r="O6" s="167" t="str" cm="1">
        <f t="array" ref="O6">_xlfn.IFS(M6&lt;=11,"Espagne",M6&lt;=17,"Maroc",M6&lt;=20,"Portugal")</f>
        <v>Maroc</v>
      </c>
      <c r="P6" s="168" cm="1">
        <f t="array" ref="P6">_xlfn.IFS(M6=1,85000,M6=5,105000,M6=12,115000,M6=2,66975,M6=20,64600,M6=16,63050,M6=9,55872,M6=17,59800,M6=7,49036,M6=14,44296,M6=18,47000,M6=19,47595,M6=4,37260,M6=6,40608,M6=13,44135,M6=15,41850,M6=3,30576,M6=8,32870,M6=10,26100,M6=11,28796)</f>
        <v>115000</v>
      </c>
      <c r="Q6" s="169" cm="1">
        <f t="array" ref="Q6">_xlfn.IFS(N6="A",22.5,N6="B",20,N6="C",17.5,N6="D",15,N6="E",12.5,N6="F",10,N6="G",7.5,N6="H",5,N6="I",2.5,N6="J",0)</f>
        <v>22.5</v>
      </c>
      <c r="R6" s="169" cm="1">
        <f t="array" ref="R6">_xlfn.IFS(O6="Espagne",175,O6="Maroc",135,O6="Portugal",140)</f>
        <v>135</v>
      </c>
      <c r="S6" s="170">
        <f t="shared" si="0"/>
        <v>157.5</v>
      </c>
      <c r="T6" s="170">
        <f t="shared" si="1"/>
        <v>18112500</v>
      </c>
      <c r="U6" s="170" cm="1">
        <f t="array" ref="U6">_xlfn.IFS(M6=1,1400000,M6=5,1725000,M6=12,2000000,M6=2,1225000,M6=20,1150000,M6=16,1150000,M6=9,1000000,M6=17,800000,M6=7,925000,M6=14,800000,M6=18,900000,M6=19,900000,M6=4,700000,M6=6,700000,M6=13,800000,M6=15,800000,M6=3,600000,M6=8,600000,M6=10,500000,M6=11,550000)</f>
        <v>2000000</v>
      </c>
      <c r="V6" s="180" cm="1">
        <f t="array" ref="V6">_xlfn.IFS(M6=1,1.25%,M6=5,1.25%,M6=12,1.5%,M6=2,2.25%,M6=20,1.75%,M6=16,1.5%,M6=9,2.25%,M6=17,1.25%,M6=7,1.75%,M6=14,2%,M6=18,1.75%,M6=19,1.75%,M6=4,2%,M6=6,2.25%,M6=13,1.5%,M6=15,2%,M6=3,2.25%,M6=8,1.5%,M6=10,1.75%,M6=11,2%)</f>
        <v>1.4999999999999999E-2</v>
      </c>
      <c r="W6" s="170">
        <f>Comparaison!$V6*Comparaison!$S6*Comparaison!$P6</f>
        <v>271687.5</v>
      </c>
      <c r="X6" s="170">
        <f>T6-Comparaison!$U6-Comparaison!$W6</f>
        <v>15840812.5</v>
      </c>
      <c r="Y6" s="175">
        <f>IF(Comparaison!$P6&lt;=50000,0,1)</f>
        <v>1</v>
      </c>
    </row>
    <row r="7" spans="1:25">
      <c r="A7" s="172">
        <v>5</v>
      </c>
      <c r="B7" s="162" t="s">
        <v>69</v>
      </c>
      <c r="C7" s="162" t="str" cm="1">
        <f t="array" ref="C7">_xlfn.IFS(A7&lt;=11,"Espagne",A7&lt;=17,"Maroc",A7&lt;=20,"Portugal")</f>
        <v>Espagne</v>
      </c>
      <c r="D7" s="163" cm="1">
        <f t="array" ref="D7">_xlfn.IFS(A7=1,85000,A7=5,105000,A7=12,115000,A7=2,66975,A7=20,64600,A7=16,63050,A7=9,55872,A7=17,59800,A7=7,49036,A7=14,44296,A7=18,47000,A7=19,47595,A7=4,37260,A7=6,40608,A7=13,44135,A7=15,41850,A7=3,30576,A7=8,32870,A7=10,26100,A7=11,28796)</f>
        <v>105000</v>
      </c>
      <c r="E7" s="169" cm="1">
        <f t="array" ref="E7">_xlfn.IFS(B7="A",22.5,B7="B",20,B7="C",17.5,B7="D",15,B7="E",12.5,B7="F",10,B7="G",7.5,B7="H",5,B7="I",2.5,B7="J",0)</f>
        <v>22.5</v>
      </c>
      <c r="F7" s="169" cm="1">
        <f t="array" ref="F7">_xlfn.IFS(C7="Espagne",175,C7="Maroc",135,C7="Portugal",140)</f>
        <v>175</v>
      </c>
      <c r="G7" s="165">
        <f t="shared" si="2"/>
        <v>197.5</v>
      </c>
      <c r="H7" s="165">
        <f t="shared" si="3"/>
        <v>20737500</v>
      </c>
      <c r="I7" s="166" cm="1">
        <f t="array" ref="I7">_xlfn.IFS(A7=1,1400000,A7=5,1725000,A7=12,2000000,A7=2,1225000,A7=20,1150000,A7=16,1150000,A7=9,1000000,A7=17,800000,A7=7,925000,A7=14,800000,A7=18,900000,A7=19,900000,A7=4,700000,A7=6,700000,A7=13,800000,A7=15,800000,A7=3,600000,A7=8,600000,A7=10,500000,A7=11,550000)</f>
        <v>1725000</v>
      </c>
      <c r="J7" s="165">
        <f t="shared" si="4"/>
        <v>19012500</v>
      </c>
      <c r="K7" s="176">
        <f>IF(Comparaison!$D7&lt;=50000,0,1)</f>
        <v>1</v>
      </c>
      <c r="M7" s="172">
        <v>16</v>
      </c>
      <c r="N7" s="162" t="s">
        <v>69</v>
      </c>
      <c r="O7" s="162" t="str" cm="1">
        <f t="array" ref="O7">_xlfn.IFS(M7&lt;=11,"Espagne",M7&lt;=17,"Maroc",M7&lt;=20,"Portugal")</f>
        <v>Maroc</v>
      </c>
      <c r="P7" s="163" cm="1">
        <f t="array" ref="P7">_xlfn.IFS(M7=1,85000,M7=5,105000,M7=12,115000,M7=2,66975,M7=20,64600,M7=16,63050,M7=9,55872,M7=17,59800,M7=7,49036,M7=14,44296,M7=18,47000,M7=19,47595,M7=4,37260,M7=6,40608,M7=13,44135,M7=15,41850,M7=3,30576,M7=8,32870,M7=10,26100,M7=11,28796)</f>
        <v>63050</v>
      </c>
      <c r="Q7" s="169" cm="1">
        <f t="array" ref="Q7">_xlfn.IFS(N7="A",22.5,N7="B",20,N7="C",17.5,N7="D",15,N7="E",12.5,N7="F",10,N7="G",7.5,N7="H",5,N7="I",2.5,N7="J",0)</f>
        <v>22.5</v>
      </c>
      <c r="R7" s="169" cm="1">
        <f t="array" ref="R7">_xlfn.IFS(O7="Espagne",175,O7="Maroc",135,O7="Portugal",140)</f>
        <v>135</v>
      </c>
      <c r="S7" s="165">
        <f t="shared" si="0"/>
        <v>157.5</v>
      </c>
      <c r="T7" s="165">
        <f t="shared" si="1"/>
        <v>9930375</v>
      </c>
      <c r="U7" s="165" cm="1">
        <f t="array" ref="U7">_xlfn.IFS(M7=1,1400000,M7=5,1725000,M7=12,2000000,M7=2,1225000,M7=20,1150000,M7=16,1150000,M7=9,1000000,M7=17,800000,M7=7,925000,M7=14,800000,M7=18,900000,M7=19,900000,M7=4,700000,M7=6,700000,M7=13,800000,M7=15,800000,M7=3,600000,M7=8,600000,M7=10,500000,M7=11,550000)</f>
        <v>1150000</v>
      </c>
      <c r="V7" s="179" cm="1">
        <f t="array" ref="V7">_xlfn.IFS(M7=1,1.25%,M7=5,1.25%,M7=12,1.5%,M7=2,2.25%,M7=20,1.75%,M7=16,1.5%,M7=9,2.25%,M7=17,1.25%,M7=7,1.75%,M7=14,2%,M7=18,1.75%,M7=19,1.75%,M7=4,2%,M7=6,2.25%,M7=13,1.5%,M7=15,2%,M7=3,2.25%,M7=8,1.5%,M7=10,1.75%,M7=11,2%)</f>
        <v>1.4999999999999999E-2</v>
      </c>
      <c r="W7" s="165">
        <f>Comparaison!$V7*Comparaison!$S7*Comparaison!$P7</f>
        <v>148955.625</v>
      </c>
      <c r="X7" s="165">
        <f>T7-Comparaison!$U7-Comparaison!$W7</f>
        <v>8631419.375</v>
      </c>
      <c r="Y7" s="176">
        <f>IF(Comparaison!$P7&lt;=50000,0,1)</f>
        <v>1</v>
      </c>
    </row>
    <row r="8" spans="1:25">
      <c r="A8" s="173">
        <v>5</v>
      </c>
      <c r="B8" s="167" t="s">
        <v>69</v>
      </c>
      <c r="C8" s="167" t="str" cm="1">
        <f t="array" ref="C8">_xlfn.IFS(A8&lt;=11,"Espagne",A8&lt;=17,"Maroc",A8&lt;=20,"Portugal")</f>
        <v>Espagne</v>
      </c>
      <c r="D8" s="168" cm="1">
        <f t="array" ref="D8">_xlfn.IFS(A8=1,85000,A8=5,105000,A8=12,115000,A8=2,66975,A8=20,64600,A8=16,63050,A8=9,55872,A8=17,59800,A8=7,49036,A8=14,44296,A8=18,47000,A8=19,47595,A8=4,37260,A8=6,40608,A8=13,44135,A8=15,41850,A8=3,30576,A8=8,32870,A8=10,26100,A8=11,28796)</f>
        <v>105000</v>
      </c>
      <c r="E8" s="169" cm="1">
        <f t="array" ref="E8">_xlfn.IFS(B8="A",22.5,B8="B",20,B8="C",17.5,B8="D",15,B8="E",12.5,B8="F",10,B8="G",7.5,B8="H",5,B8="I",2.5,B8="J",0)</f>
        <v>22.5</v>
      </c>
      <c r="F8" s="169" cm="1">
        <f t="array" ref="F8">_xlfn.IFS(C8="Espagne",175,C8="Maroc",135,C8="Portugal",140)</f>
        <v>175</v>
      </c>
      <c r="G8" s="170">
        <f t="shared" si="2"/>
        <v>197.5</v>
      </c>
      <c r="H8" s="170">
        <f t="shared" si="3"/>
        <v>20737500</v>
      </c>
      <c r="I8" s="171" cm="1">
        <f t="array" ref="I8">_xlfn.IFS(A8=1,1400000,A8=5,1725000,A8=12,2000000,A8=2,1225000,A8=20,1150000,A8=16,1150000,A8=9,1000000,A8=17,800000,A8=7,925000,A8=14,800000,A8=18,900000,A8=19,900000,A8=4,700000,A8=6,700000,A8=13,800000,A8=15,800000,A8=3,600000,A8=8,600000,A8=10,500000,A8=11,550000)</f>
        <v>1725000</v>
      </c>
      <c r="J8" s="170">
        <f t="shared" si="4"/>
        <v>19012500</v>
      </c>
      <c r="K8" s="175">
        <f>IF(Comparaison!$D8&lt;=50000,0,1)</f>
        <v>1</v>
      </c>
      <c r="M8" s="173">
        <v>16</v>
      </c>
      <c r="N8" s="167" t="s">
        <v>69</v>
      </c>
      <c r="O8" s="167" t="str" cm="1">
        <f t="array" ref="O8">_xlfn.IFS(M8&lt;=11,"Espagne",M8&lt;=17,"Maroc",M8&lt;=20,"Portugal")</f>
        <v>Maroc</v>
      </c>
      <c r="P8" s="168" cm="1">
        <f t="array" ref="P8">_xlfn.IFS(M8=1,85000,M8=5,105000,M8=12,115000,M8=2,66975,M8=20,64600,M8=16,63050,M8=9,55872,M8=17,59800,M8=7,49036,M8=14,44296,M8=18,47000,M8=19,47595,M8=4,37260,M8=6,40608,M8=13,44135,M8=15,41850,M8=3,30576,M8=8,32870,M8=10,26100,M8=11,28796)</f>
        <v>63050</v>
      </c>
      <c r="Q8" s="169" cm="1">
        <f t="array" ref="Q8">_xlfn.IFS(N8="A",22.5,N8="B",20,N8="C",17.5,N8="D",15,N8="E",12.5,N8="F",10,N8="G",7.5,N8="H",5,N8="I",2.5,N8="J",0)</f>
        <v>22.5</v>
      </c>
      <c r="R8" s="169" cm="1">
        <f t="array" ref="R8">_xlfn.IFS(O8="Espagne",175,O8="Maroc",135,O8="Portugal",140)</f>
        <v>135</v>
      </c>
      <c r="S8" s="170">
        <f t="shared" si="0"/>
        <v>157.5</v>
      </c>
      <c r="T8" s="170">
        <f t="shared" si="1"/>
        <v>9930375</v>
      </c>
      <c r="U8" s="170" cm="1">
        <f t="array" ref="U8">_xlfn.IFS(M8=1,1400000,M8=5,1725000,M8=12,2000000,M8=2,1225000,M8=20,1150000,M8=16,1150000,M8=9,1000000,M8=17,800000,M8=7,925000,M8=14,800000,M8=18,900000,M8=19,900000,M8=4,700000,M8=6,700000,M8=13,800000,M8=15,800000,M8=3,600000,M8=8,600000,M8=10,500000,M8=11,550000)</f>
        <v>1150000</v>
      </c>
      <c r="V8" s="180" cm="1">
        <f t="array" ref="V8">_xlfn.IFS(M8=1,1.25%,M8=5,1.25%,M8=12,1.5%,M8=2,2.25%,M8=20,1.75%,M8=16,1.5%,M8=9,2.25%,M8=17,1.25%,M8=7,1.75%,M8=14,2%,M8=18,1.75%,M8=19,1.75%,M8=4,2%,M8=6,2.25%,M8=13,1.5%,M8=15,2%,M8=3,2.25%,M8=8,1.5%,M8=10,1.75%,M8=11,2%)</f>
        <v>1.4999999999999999E-2</v>
      </c>
      <c r="W8" s="170">
        <f>Comparaison!$V8*Comparaison!$S8*Comparaison!$P8</f>
        <v>148955.625</v>
      </c>
      <c r="X8" s="170">
        <f>T8-Comparaison!$U8-Comparaison!$W8</f>
        <v>8631419.375</v>
      </c>
      <c r="Y8" s="175">
        <f>IF(Comparaison!$P8&lt;=50000,0,1)</f>
        <v>1</v>
      </c>
    </row>
    <row r="9" spans="1:25">
      <c r="A9" s="172">
        <v>12</v>
      </c>
      <c r="B9" s="162" t="s">
        <v>69</v>
      </c>
      <c r="C9" s="162" t="str" cm="1">
        <f t="array" ref="C9">_xlfn.IFS(A9&lt;=11,"Espagne",A9&lt;=17,"Maroc",A9&lt;=20,"Portugal")</f>
        <v>Maroc</v>
      </c>
      <c r="D9" s="163" cm="1">
        <f t="array" ref="D9">_xlfn.IFS(A9=1,85000,A9=5,105000,A9=12,115000,A9=2,66975,A9=20,64600,A9=16,63050,A9=9,55872,A9=17,59800,A9=7,49036,A9=14,44296,A9=18,47000,A9=19,47595,A9=4,37260,A9=6,40608,A9=13,44135,A9=15,41850,A9=3,30576,A9=8,32870,A9=10,26100,A9=11,28796)</f>
        <v>115000</v>
      </c>
      <c r="E9" s="169" cm="1">
        <f t="array" ref="E9">_xlfn.IFS(B9="A",22.5,B9="B",20,B9="C",17.5,B9="D",15,B9="E",12.5,B9="F",10,B9="G",7.5,B9="H",5,B9="I",2.5,B9="J",0)</f>
        <v>22.5</v>
      </c>
      <c r="F9" s="169" cm="1">
        <f t="array" ref="F9">_xlfn.IFS(C9="Espagne",175,C9="Maroc",135,C9="Portugal",140)</f>
        <v>135</v>
      </c>
      <c r="G9" s="165">
        <f t="shared" si="2"/>
        <v>157.5</v>
      </c>
      <c r="H9" s="165">
        <f t="shared" si="3"/>
        <v>18112500</v>
      </c>
      <c r="I9" s="166" cm="1">
        <f t="array" ref="I9">_xlfn.IFS(A9=1,1400000,A9=5,1725000,A9=12,2000000,A9=2,1225000,A9=20,1150000,A9=16,1150000,A9=9,1000000,A9=17,800000,A9=7,925000,A9=14,800000,A9=18,900000,A9=19,900000,A9=4,700000,A9=6,700000,A9=13,800000,A9=15,800000,A9=3,600000,A9=8,600000,A9=10,500000,A9=11,550000)</f>
        <v>2000000</v>
      </c>
      <c r="J9" s="165">
        <f t="shared" si="4"/>
        <v>16112500</v>
      </c>
      <c r="K9" s="176">
        <f>IF(Comparaison!$D9&lt;=50000,0,1)</f>
        <v>1</v>
      </c>
      <c r="M9" s="172">
        <v>17</v>
      </c>
      <c r="N9" s="162" t="s">
        <v>69</v>
      </c>
      <c r="O9" s="162" t="str" cm="1">
        <f t="array" ref="O9">_xlfn.IFS(M9&lt;=11,"Espagne",M9&lt;=17,"Maroc",M9&lt;=20,"Portugal")</f>
        <v>Maroc</v>
      </c>
      <c r="P9" s="163" cm="1">
        <f t="array" ref="P9">_xlfn.IFS(M9=1,85000,M9=5,105000,M9=12,115000,M9=2,66975,M9=20,64600,M9=16,63050,M9=9,55872,M9=17,59800,M9=7,49036,M9=14,44296,M9=18,47000,M9=19,47595,M9=4,37260,M9=6,40608,M9=13,44135,M9=15,41850,M9=3,30576,M9=8,32870,M9=10,26100,M9=11,28796)</f>
        <v>59800</v>
      </c>
      <c r="Q9" s="169" cm="1">
        <f t="array" ref="Q9">_xlfn.IFS(N9="A",22.5,N9="B",20,N9="C",17.5,N9="D",15,N9="E",12.5,N9="F",10,N9="G",7.5,N9="H",5,N9="I",2.5,N9="J",0)</f>
        <v>22.5</v>
      </c>
      <c r="R9" s="169" cm="1">
        <f t="array" ref="R9">_xlfn.IFS(O9="Espagne",175,O9="Maroc",135,O9="Portugal",140)</f>
        <v>135</v>
      </c>
      <c r="S9" s="165">
        <f t="shared" si="0"/>
        <v>157.5</v>
      </c>
      <c r="T9" s="165">
        <f t="shared" si="1"/>
        <v>9418500</v>
      </c>
      <c r="U9" s="165" cm="1">
        <f t="array" ref="U9">_xlfn.IFS(M9=1,1400000,M9=5,1725000,M9=12,2000000,M9=2,1225000,M9=20,1150000,M9=16,1150000,M9=9,1000000,M9=17,800000,M9=7,925000,M9=14,800000,M9=18,900000,M9=19,900000,M9=4,700000,M9=6,700000,M9=13,800000,M9=15,800000,M9=3,600000,M9=8,600000,M9=10,500000,M9=11,550000)</f>
        <v>800000</v>
      </c>
      <c r="V9" s="179" cm="1">
        <f t="array" ref="V9">_xlfn.IFS(M9=1,1.25%,M9=5,1.25%,M9=12,1.5%,M9=2,2.25%,M9=20,1.75%,M9=16,1.5%,M9=9,2.25%,M9=17,1.25%,M9=7,1.75%,M9=14,2%,M9=18,1.75%,M9=19,1.75%,M9=4,2%,M9=6,2.25%,M9=13,1.5%,M9=15,2%,M9=3,2.25%,M9=8,1.5%,M9=10,1.75%,M9=11,2%)</f>
        <v>1.2500000000000001E-2</v>
      </c>
      <c r="W9" s="165">
        <f>Comparaison!$V9*Comparaison!$S9*Comparaison!$P9</f>
        <v>117731.25</v>
      </c>
      <c r="X9" s="165">
        <f>T9-Comparaison!$U9-Comparaison!$W9</f>
        <v>8500768.75</v>
      </c>
      <c r="Y9" s="176">
        <f>IF(Comparaison!$P9&lt;=50000,0,1)</f>
        <v>1</v>
      </c>
    </row>
    <row r="10" spans="1:25">
      <c r="A10" s="173">
        <v>12</v>
      </c>
      <c r="B10" s="167" t="s">
        <v>69</v>
      </c>
      <c r="C10" s="167" t="str" cm="1">
        <f t="array" ref="C10">_xlfn.IFS(A10&lt;=11,"Espagne",A10&lt;=17,"Maroc",A10&lt;=20,"Portugal")</f>
        <v>Maroc</v>
      </c>
      <c r="D10" s="168" cm="1">
        <f t="array" ref="D10">_xlfn.IFS(A10=1,85000,A10=5,105000,A10=12,115000,A10=2,66975,A10=20,64600,A10=16,63050,A10=9,55872,A10=17,59800,A10=7,49036,A10=14,44296,A10=18,47000,A10=19,47595,A10=4,37260,A10=6,40608,A10=13,44135,A10=15,41850,A10=3,30576,A10=8,32870,A10=10,26100,A10=11,28796)</f>
        <v>115000</v>
      </c>
      <c r="E10" s="169" cm="1">
        <f t="array" ref="E10">_xlfn.IFS(B10="A",22.5,B10="B",20,B10="C",17.5,B10="D",15,B10="E",12.5,B10="F",10,B10="G",7.5,B10="H",5,B10="I",2.5,B10="J",0)</f>
        <v>22.5</v>
      </c>
      <c r="F10" s="169" cm="1">
        <f t="array" ref="F10">_xlfn.IFS(C10="Espagne",175,C10="Maroc",135,C10="Portugal",140)</f>
        <v>135</v>
      </c>
      <c r="G10" s="170">
        <f t="shared" si="2"/>
        <v>157.5</v>
      </c>
      <c r="H10" s="170">
        <f t="shared" si="3"/>
        <v>18112500</v>
      </c>
      <c r="I10" s="171" cm="1">
        <f t="array" ref="I10">_xlfn.IFS(A10=1,1400000,A10=5,1725000,A10=12,2000000,A10=2,1225000,A10=20,1150000,A10=16,1150000,A10=9,1000000,A10=17,800000,A10=7,925000,A10=14,800000,A10=18,900000,A10=19,900000,A10=4,700000,A10=6,700000,A10=13,800000,A10=15,800000,A10=3,600000,A10=8,600000,A10=10,500000,A10=11,550000)</f>
        <v>2000000</v>
      </c>
      <c r="J10" s="170">
        <f t="shared" si="4"/>
        <v>16112500</v>
      </c>
      <c r="K10" s="175">
        <f>IF(Comparaison!$D10&lt;=50000,0,1)</f>
        <v>1</v>
      </c>
      <c r="M10" s="173">
        <v>17</v>
      </c>
      <c r="N10" s="167" t="s">
        <v>69</v>
      </c>
      <c r="O10" s="167" t="str" cm="1">
        <f t="array" ref="O10">_xlfn.IFS(M10&lt;=11,"Espagne",M10&lt;=17,"Maroc",M10&lt;=20,"Portugal")</f>
        <v>Maroc</v>
      </c>
      <c r="P10" s="168" cm="1">
        <f t="array" ref="P10">_xlfn.IFS(M10=1,85000,M10=5,105000,M10=12,115000,M10=2,66975,M10=20,64600,M10=16,63050,M10=9,55872,M10=17,59800,M10=7,49036,M10=14,44296,M10=18,47000,M10=19,47595,M10=4,37260,M10=6,40608,M10=13,44135,M10=15,41850,M10=3,30576,M10=8,32870,M10=10,26100,M10=11,28796)</f>
        <v>59800</v>
      </c>
      <c r="Q10" s="169" cm="1">
        <f t="array" ref="Q10">_xlfn.IFS(N10="A",22.5,N10="B",20,N10="C",17.5,N10="D",15,N10="E",12.5,N10="F",10,N10="G",7.5,N10="H",5,N10="I",2.5,N10="J",0)</f>
        <v>22.5</v>
      </c>
      <c r="R10" s="169" cm="1">
        <f t="array" ref="R10">_xlfn.IFS(O10="Espagne",175,O10="Maroc",135,O10="Portugal",140)</f>
        <v>135</v>
      </c>
      <c r="S10" s="170">
        <f t="shared" si="0"/>
        <v>157.5</v>
      </c>
      <c r="T10" s="170">
        <f t="shared" si="1"/>
        <v>9418500</v>
      </c>
      <c r="U10" s="170" cm="1">
        <f t="array" ref="U10">_xlfn.IFS(M10=1,1400000,M10=5,1725000,M10=12,2000000,M10=2,1225000,M10=20,1150000,M10=16,1150000,M10=9,1000000,M10=17,800000,M10=7,925000,M10=14,800000,M10=18,900000,M10=19,900000,M10=4,700000,M10=6,700000,M10=13,800000,M10=15,800000,M10=3,600000,M10=8,600000,M10=10,500000,M10=11,550000)</f>
        <v>800000</v>
      </c>
      <c r="V10" s="180" cm="1">
        <f t="array" ref="V10">_xlfn.IFS(M10=1,1.25%,M10=5,1.25%,M10=12,1.5%,M10=2,2.25%,M10=20,1.75%,M10=16,1.5%,M10=9,2.25%,M10=17,1.25%,M10=7,1.75%,M10=14,2%,M10=18,1.75%,M10=19,1.75%,M10=4,2%,M10=6,2.25%,M10=13,1.5%,M10=15,2%,M10=3,2.25%,M10=8,1.5%,M10=10,1.75%,M10=11,2%)</f>
        <v>1.2500000000000001E-2</v>
      </c>
      <c r="W10" s="170">
        <f>Comparaison!$V10*Comparaison!$S10*Comparaison!$P10</f>
        <v>117731.25</v>
      </c>
      <c r="X10" s="170">
        <f>T10-Comparaison!$U10-Comparaison!$W10</f>
        <v>8500768.75</v>
      </c>
      <c r="Y10" s="175">
        <f>IF(Comparaison!$P10&lt;=50000,0,1)</f>
        <v>1</v>
      </c>
    </row>
    <row r="11" spans="1:25">
      <c r="A11" s="172">
        <v>1</v>
      </c>
      <c r="B11" s="162" t="s">
        <v>70</v>
      </c>
      <c r="C11" s="162" t="str" cm="1">
        <f t="array" ref="C11">_xlfn.IFS(A11&lt;=11,"Espagne",A11&lt;=17,"Maroc",A11&lt;=20,"Portugal")</f>
        <v>Espagne</v>
      </c>
      <c r="D11" s="163" cm="1">
        <f t="array" ref="D11">_xlfn.IFS(A11=1,85000,A11=5,105000,A11=12,115000,A11=2,66975,A11=20,64600,A11=16,63050,A11=9,55872,A11=17,59800,A11=7,49036,A11=14,44296,A11=18,47000,A11=19,47595,A11=4,37260,A11=6,40608,A11=13,44135,A11=15,41850,A11=3,30576,A11=8,32870,A11=10,26100,A11=11,28796)</f>
        <v>85000</v>
      </c>
      <c r="E11" s="169" cm="1">
        <f t="array" ref="E11">_xlfn.IFS(B11="A",22.5,B11="B",20,B11="C",17.5,B11="D",15,B11="E",12.5,B11="F",10,B11="G",7.5,B11="H",5,B11="I",2.5,B11="J",0)</f>
        <v>20</v>
      </c>
      <c r="F11" s="169" cm="1">
        <f t="array" ref="F11">_xlfn.IFS(C11="Espagne",175,C11="Maroc",135,C11="Portugal",140)</f>
        <v>175</v>
      </c>
      <c r="G11" s="165">
        <f t="shared" si="2"/>
        <v>195</v>
      </c>
      <c r="H11" s="165">
        <f t="shared" si="3"/>
        <v>16575000</v>
      </c>
      <c r="I11" s="166" cm="1">
        <f t="array" ref="I11">_xlfn.IFS(A11=1,1400000,A11=5,1725000,A11=12,2000000,A11=2,1225000,A11=20,1150000,A11=16,1150000,A11=9,1000000,A11=17,800000,A11=7,925000,A11=14,800000,A11=18,900000,A11=19,900000,A11=4,700000,A11=6,700000,A11=13,800000,A11=15,800000,A11=3,600000,A11=8,600000,A11=10,500000,A11=11,550000)</f>
        <v>1400000</v>
      </c>
      <c r="J11" s="165">
        <f t="shared" si="4"/>
        <v>15175000</v>
      </c>
      <c r="K11" s="176">
        <f>IF(Comparaison!$D11&lt;=50000,0,1)</f>
        <v>1</v>
      </c>
      <c r="M11" s="172">
        <v>1</v>
      </c>
      <c r="N11" s="162" t="s">
        <v>70</v>
      </c>
      <c r="O11" s="162" t="str" cm="1">
        <f t="array" ref="O11">_xlfn.IFS(M11&lt;=11,"Espagne",M11&lt;=17,"Maroc",M11&lt;=20,"Portugal")</f>
        <v>Espagne</v>
      </c>
      <c r="P11" s="163" cm="1">
        <f t="array" ref="P11">_xlfn.IFS(M11=1,85000,M11=5,105000,M11=12,115000,M11=2,66975,M11=20,64600,M11=16,63050,M11=9,55872,M11=17,59800,M11=7,49036,M11=14,44296,M11=18,47000,M11=19,47595,M11=4,37260,M11=6,40608,M11=13,44135,M11=15,41850,M11=3,30576,M11=8,32870,M11=10,26100,M11=11,28796)</f>
        <v>85000</v>
      </c>
      <c r="Q11" s="169" cm="1">
        <f t="array" ref="Q11">_xlfn.IFS(N11="A",22.5,N11="B",20,N11="C",17.5,N11="D",15,N11="E",12.5,N11="F",10,N11="G",7.5,N11="H",5,N11="I",2.5,N11="J",0)</f>
        <v>20</v>
      </c>
      <c r="R11" s="169" cm="1">
        <f t="array" ref="R11">_xlfn.IFS(O11="Espagne",175,O11="Maroc",135,O11="Portugal",140)</f>
        <v>175</v>
      </c>
      <c r="S11" s="165">
        <f t="shared" si="0"/>
        <v>195</v>
      </c>
      <c r="T11" s="165">
        <f t="shared" si="1"/>
        <v>16575000</v>
      </c>
      <c r="U11" s="165" cm="1">
        <f t="array" ref="U11">_xlfn.IFS(M11=1,1400000,M11=5,1725000,M11=12,2000000,M11=2,1225000,M11=20,1150000,M11=16,1150000,M11=9,1000000,M11=17,800000,M11=7,925000,M11=14,800000,M11=18,900000,M11=19,900000,M11=4,700000,M11=6,700000,M11=13,800000,M11=15,800000,M11=3,600000,M11=8,600000,M11=10,500000,M11=11,550000)</f>
        <v>1400000</v>
      </c>
      <c r="V11" s="179" cm="1">
        <f t="array" ref="V11">_xlfn.IFS(M11=1,1.25%,M11=5,1.25%,M11=12,1.5%,M11=2,2.25%,M11=20,1.75%,M11=16,1.5%,M11=9,2.25%,M11=17,1.25%,M11=7,1.75%,M11=14,2%,M11=18,1.75%,M11=19,1.75%,M11=4,2%,M11=6,2.25%,M11=13,1.5%,M11=15,2%,M11=3,2.25%,M11=8,1.5%,M11=10,1.75%,M11=11,2%)</f>
        <v>1.2500000000000001E-2</v>
      </c>
      <c r="W11" s="165">
        <f>Comparaison!$V11*Comparaison!$S11*Comparaison!$P11</f>
        <v>207187.5</v>
      </c>
      <c r="X11" s="165">
        <f>T11-Comparaison!$U11-Comparaison!$W11</f>
        <v>14967812.5</v>
      </c>
      <c r="Y11" s="176">
        <f>IF(Comparaison!$P11&lt;=50000,0,1)</f>
        <v>1</v>
      </c>
    </row>
    <row r="12" spans="1:25">
      <c r="A12" s="173">
        <v>1</v>
      </c>
      <c r="B12" s="167" t="s">
        <v>70</v>
      </c>
      <c r="C12" s="167" t="str" cm="1">
        <f t="array" ref="C12">_xlfn.IFS(A12&lt;=11,"Espagne",A12&lt;=17,"Maroc",A12&lt;=20,"Portugal")</f>
        <v>Espagne</v>
      </c>
      <c r="D12" s="168" cm="1">
        <f t="array" ref="D12">_xlfn.IFS(A12=1,85000,A12=5,105000,A12=12,115000,A12=2,66975,A12=20,64600,A12=16,63050,A12=9,55872,A12=17,59800,A12=7,49036,A12=14,44296,A12=18,47000,A12=19,47595,A12=4,37260,A12=6,40608,A12=13,44135,A12=15,41850,A12=3,30576,A12=8,32870,A12=10,26100,A12=11,28796)</f>
        <v>85000</v>
      </c>
      <c r="E12" s="169" cm="1">
        <f t="array" ref="E12">_xlfn.IFS(B12="A",22.5,B12="B",20,B12="C",17.5,B12="D",15,B12="E",12.5,B12="F",10,B12="G",7.5,B12="H",5,B12="I",2.5,B12="J",0)</f>
        <v>20</v>
      </c>
      <c r="F12" s="169" cm="1">
        <f t="array" ref="F12">_xlfn.IFS(C12="Espagne",175,C12="Maroc",135,C12="Portugal",140)</f>
        <v>175</v>
      </c>
      <c r="G12" s="170">
        <f t="shared" si="2"/>
        <v>195</v>
      </c>
      <c r="H12" s="170">
        <f t="shared" si="3"/>
        <v>16575000</v>
      </c>
      <c r="I12" s="171" cm="1">
        <f t="array" ref="I12">_xlfn.IFS(A12=1,1400000,A12=5,1725000,A12=12,2000000,A12=2,1225000,A12=20,1150000,A12=16,1150000,A12=9,1000000,A12=17,800000,A12=7,925000,A12=14,800000,A12=18,900000,A12=19,900000,A12=4,700000,A12=6,700000,A12=13,800000,A12=15,800000,A12=3,600000,A12=8,600000,A12=10,500000,A12=11,550000)</f>
        <v>1400000</v>
      </c>
      <c r="J12" s="170">
        <f t="shared" si="4"/>
        <v>15175000</v>
      </c>
      <c r="K12" s="175">
        <f>IF(Comparaison!$D12&lt;=50000,0,1)</f>
        <v>1</v>
      </c>
      <c r="M12" s="173">
        <v>1</v>
      </c>
      <c r="N12" s="167" t="s">
        <v>70</v>
      </c>
      <c r="O12" s="167" t="str" cm="1">
        <f t="array" ref="O12">_xlfn.IFS(M12&lt;=11,"Espagne",M12&lt;=17,"Maroc",M12&lt;=20,"Portugal")</f>
        <v>Espagne</v>
      </c>
      <c r="P12" s="168" cm="1">
        <f t="array" ref="P12">_xlfn.IFS(M12=1,85000,M12=5,105000,M12=12,115000,M12=2,66975,M12=20,64600,M12=16,63050,M12=9,55872,M12=17,59800,M12=7,49036,M12=14,44296,M12=18,47000,M12=19,47595,M12=4,37260,M12=6,40608,M12=13,44135,M12=15,41850,M12=3,30576,M12=8,32870,M12=10,26100,M12=11,28796)</f>
        <v>85000</v>
      </c>
      <c r="Q12" s="169" cm="1">
        <f t="array" ref="Q12">_xlfn.IFS(N12="A",22.5,N12="B",20,N12="C",17.5,N12="D",15,N12="E",12.5,N12="F",10,N12="G",7.5,N12="H",5,N12="I",2.5,N12="J",0)</f>
        <v>20</v>
      </c>
      <c r="R12" s="169" cm="1">
        <f t="array" ref="R12">_xlfn.IFS(O12="Espagne",175,O12="Maroc",135,O12="Portugal",140)</f>
        <v>175</v>
      </c>
      <c r="S12" s="170">
        <f t="shared" si="0"/>
        <v>195</v>
      </c>
      <c r="T12" s="170">
        <f t="shared" si="1"/>
        <v>16575000</v>
      </c>
      <c r="U12" s="170" cm="1">
        <f t="array" ref="U12">_xlfn.IFS(M12=1,1400000,M12=5,1725000,M12=12,2000000,M12=2,1225000,M12=20,1150000,M12=16,1150000,M12=9,1000000,M12=17,800000,M12=7,925000,M12=14,800000,M12=18,900000,M12=19,900000,M12=4,700000,M12=6,700000,M12=13,800000,M12=15,800000,M12=3,600000,M12=8,600000,M12=10,500000,M12=11,550000)</f>
        <v>1400000</v>
      </c>
      <c r="V12" s="180" cm="1">
        <f t="array" ref="V12">_xlfn.IFS(M12=1,1.25%,M12=5,1.25%,M12=12,1.5%,M12=2,2.25%,M12=20,1.75%,M12=16,1.5%,M12=9,2.25%,M12=17,1.25%,M12=7,1.75%,M12=14,2%,M12=18,1.75%,M12=19,1.75%,M12=4,2%,M12=6,2.25%,M12=13,1.5%,M12=15,2%,M12=3,2.25%,M12=8,1.5%,M12=10,1.75%,M12=11,2%)</f>
        <v>1.2500000000000001E-2</v>
      </c>
      <c r="W12" s="170">
        <f>Comparaison!$V12*Comparaison!$S12*Comparaison!$P12</f>
        <v>207187.5</v>
      </c>
      <c r="X12" s="170">
        <f>T12-Comparaison!$U12-Comparaison!$W12</f>
        <v>14967812.5</v>
      </c>
      <c r="Y12" s="175">
        <f>IF(Comparaison!$P12&lt;=50000,0,1)</f>
        <v>1</v>
      </c>
    </row>
    <row r="13" spans="1:25">
      <c r="A13" s="172">
        <v>5</v>
      </c>
      <c r="B13" s="162" t="s">
        <v>70</v>
      </c>
      <c r="C13" s="162" t="str" cm="1">
        <f t="array" ref="C13">_xlfn.IFS(A13&lt;=11,"Espagne",A13&lt;=17,"Maroc",A13&lt;=20,"Portugal")</f>
        <v>Espagne</v>
      </c>
      <c r="D13" s="163" cm="1">
        <f t="array" ref="D13">_xlfn.IFS(A13=1,85000,A13=5,105000,A13=12,115000,A13=2,66975,A13=20,64600,A13=16,63050,A13=9,55872,A13=17,59800,A13=7,49036,A13=14,44296,A13=18,47000,A13=19,47595,A13=4,37260,A13=6,40608,A13=13,44135,A13=15,41850,A13=3,30576,A13=8,32870,A13=10,26100,A13=11,28796)</f>
        <v>105000</v>
      </c>
      <c r="E13" s="169" cm="1">
        <f t="array" ref="E13">_xlfn.IFS(B13="A",22.5,B13="B",20,B13="C",17.5,B13="D",15,B13="E",12.5,B13="F",10,B13="G",7.5,B13="H",5,B13="I",2.5,B13="J",0)</f>
        <v>20</v>
      </c>
      <c r="F13" s="169" cm="1">
        <f t="array" ref="F13">_xlfn.IFS(C13="Espagne",175,C13="Maroc",135,C13="Portugal",140)</f>
        <v>175</v>
      </c>
      <c r="G13" s="165">
        <f t="shared" si="2"/>
        <v>195</v>
      </c>
      <c r="H13" s="165">
        <f t="shared" si="3"/>
        <v>20475000</v>
      </c>
      <c r="I13" s="166" cm="1">
        <f t="array" ref="I13">_xlfn.IFS(A13=1,1400000,A13=5,1725000,A13=12,2000000,A13=2,1225000,A13=20,1150000,A13=16,1150000,A13=9,1000000,A13=17,800000,A13=7,925000,A13=14,800000,A13=18,900000,A13=19,900000,A13=4,700000,A13=6,700000,A13=13,800000,A13=15,800000,A13=3,600000,A13=8,600000,A13=10,500000,A13=11,550000)</f>
        <v>1725000</v>
      </c>
      <c r="J13" s="165">
        <f t="shared" si="4"/>
        <v>18750000</v>
      </c>
      <c r="K13" s="176">
        <f>IF(Comparaison!$D13&lt;=50000,0,1)</f>
        <v>1</v>
      </c>
      <c r="M13" s="172">
        <v>2</v>
      </c>
      <c r="N13" s="162" t="s">
        <v>70</v>
      </c>
      <c r="O13" s="162" t="str" cm="1">
        <f t="array" ref="O13">_xlfn.IFS(M13&lt;=11,"Espagne",M13&lt;=17,"Maroc",M13&lt;=20,"Portugal")</f>
        <v>Espagne</v>
      </c>
      <c r="P13" s="163" cm="1">
        <f t="array" ref="P13">_xlfn.IFS(M13=1,85000,M13=5,105000,M13=12,115000,M13=2,66975,M13=20,64600,M13=16,63050,M13=9,55872,M13=17,59800,M13=7,49036,M13=14,44296,M13=18,47000,M13=19,47595,M13=4,37260,M13=6,40608,M13=13,44135,M13=15,41850,M13=3,30576,M13=8,32870,M13=10,26100,M13=11,28796)</f>
        <v>66975</v>
      </c>
      <c r="Q13" s="169" cm="1">
        <f t="array" ref="Q13">_xlfn.IFS(N13="A",22.5,N13="B",20,N13="C",17.5,N13="D",15,N13="E",12.5,N13="F",10,N13="G",7.5,N13="H",5,N13="I",2.5,N13="J",0)</f>
        <v>20</v>
      </c>
      <c r="R13" s="169" cm="1">
        <f t="array" ref="R13">_xlfn.IFS(O13="Espagne",175,O13="Maroc",135,O13="Portugal",140)</f>
        <v>175</v>
      </c>
      <c r="S13" s="165">
        <f t="shared" si="0"/>
        <v>195</v>
      </c>
      <c r="T13" s="165">
        <f t="shared" si="1"/>
        <v>13060125</v>
      </c>
      <c r="U13" s="165" cm="1">
        <f t="array" ref="U13">_xlfn.IFS(M13=1,1400000,M13=5,1725000,M13=12,2000000,M13=2,1225000,M13=20,1150000,M13=16,1150000,M13=9,1000000,M13=17,800000,M13=7,925000,M13=14,800000,M13=18,900000,M13=19,900000,M13=4,700000,M13=6,700000,M13=13,800000,M13=15,800000,M13=3,600000,M13=8,600000,M13=10,500000,M13=11,550000)</f>
        <v>1225000</v>
      </c>
      <c r="V13" s="179" cm="1">
        <f t="array" ref="V13">_xlfn.IFS(M13=1,1.25%,M13=5,1.25%,M13=12,1.5%,M13=2,2.25%,M13=20,1.75%,M13=16,1.5%,M13=9,2.25%,M13=17,1.25%,M13=7,1.75%,M13=14,2%,M13=18,1.75%,M13=19,1.75%,M13=4,2%,M13=6,2.25%,M13=13,1.5%,M13=15,2%,M13=3,2.25%,M13=8,1.5%,M13=10,1.75%,M13=11,2%)</f>
        <v>2.2499999999999999E-2</v>
      </c>
      <c r="W13" s="165">
        <f>Comparaison!$V13*Comparaison!$S13*Comparaison!$P13</f>
        <v>293852.8125</v>
      </c>
      <c r="X13" s="165">
        <f>T13-Comparaison!$U13-Comparaison!$W13</f>
        <v>11541272.1875</v>
      </c>
      <c r="Y13" s="176">
        <f>IF(Comparaison!$P13&lt;=50000,0,1)</f>
        <v>1</v>
      </c>
    </row>
    <row r="14" spans="1:25">
      <c r="A14" s="173">
        <v>5</v>
      </c>
      <c r="B14" s="167" t="s">
        <v>70</v>
      </c>
      <c r="C14" s="167" t="str" cm="1">
        <f t="array" ref="C14">_xlfn.IFS(A14&lt;=11,"Espagne",A14&lt;=17,"Maroc",A14&lt;=20,"Portugal")</f>
        <v>Espagne</v>
      </c>
      <c r="D14" s="168" cm="1">
        <f t="array" ref="D14">_xlfn.IFS(A14=1,85000,A14=5,105000,A14=12,115000,A14=2,66975,A14=20,64600,A14=16,63050,A14=9,55872,A14=17,59800,A14=7,49036,A14=14,44296,A14=18,47000,A14=19,47595,A14=4,37260,A14=6,40608,A14=13,44135,A14=15,41850,A14=3,30576,A14=8,32870,A14=10,26100,A14=11,28796)</f>
        <v>105000</v>
      </c>
      <c r="E14" s="169" cm="1">
        <f t="array" ref="E14">_xlfn.IFS(B14="A",22.5,B14="B",20,B14="C",17.5,B14="D",15,B14="E",12.5,B14="F",10,B14="G",7.5,B14="H",5,B14="I",2.5,B14="J",0)</f>
        <v>20</v>
      </c>
      <c r="F14" s="169" cm="1">
        <f t="array" ref="F14">_xlfn.IFS(C14="Espagne",175,C14="Maroc",135,C14="Portugal",140)</f>
        <v>175</v>
      </c>
      <c r="G14" s="170">
        <f t="shared" si="2"/>
        <v>195</v>
      </c>
      <c r="H14" s="170">
        <f t="shared" si="3"/>
        <v>20475000</v>
      </c>
      <c r="I14" s="171" cm="1">
        <f t="array" ref="I14">_xlfn.IFS(A14=1,1400000,A14=5,1725000,A14=12,2000000,A14=2,1225000,A14=20,1150000,A14=16,1150000,A14=9,1000000,A14=17,800000,A14=7,925000,A14=14,800000,A14=18,900000,A14=19,900000,A14=4,700000,A14=6,700000,A14=13,800000,A14=15,800000,A14=3,600000,A14=8,600000,A14=10,500000,A14=11,550000)</f>
        <v>1725000</v>
      </c>
      <c r="J14" s="170">
        <f t="shared" si="4"/>
        <v>18750000</v>
      </c>
      <c r="K14" s="175">
        <f>IF(Comparaison!$D14&lt;=50000,0,1)</f>
        <v>1</v>
      </c>
      <c r="M14" s="173">
        <v>2</v>
      </c>
      <c r="N14" s="167" t="s">
        <v>70</v>
      </c>
      <c r="O14" s="167" t="str" cm="1">
        <f t="array" ref="O14">_xlfn.IFS(M14&lt;=11,"Espagne",M14&lt;=17,"Maroc",M14&lt;=20,"Portugal")</f>
        <v>Espagne</v>
      </c>
      <c r="P14" s="168" cm="1">
        <f t="array" ref="P14">_xlfn.IFS(M14=1,85000,M14=5,105000,M14=12,115000,M14=2,66975,M14=20,64600,M14=16,63050,M14=9,55872,M14=17,59800,M14=7,49036,M14=14,44296,M14=18,47000,M14=19,47595,M14=4,37260,M14=6,40608,M14=13,44135,M14=15,41850,M14=3,30576,M14=8,32870,M14=10,26100,M14=11,28796)</f>
        <v>66975</v>
      </c>
      <c r="Q14" s="169" cm="1">
        <f t="array" ref="Q14">_xlfn.IFS(N14="A",22.5,N14="B",20,N14="C",17.5,N14="D",15,N14="E",12.5,N14="F",10,N14="G",7.5,N14="H",5,N14="I",2.5,N14="J",0)</f>
        <v>20</v>
      </c>
      <c r="R14" s="169" cm="1">
        <f t="array" ref="R14">_xlfn.IFS(O14="Espagne",175,O14="Maroc",135,O14="Portugal",140)</f>
        <v>175</v>
      </c>
      <c r="S14" s="170">
        <f t="shared" si="0"/>
        <v>195</v>
      </c>
      <c r="T14" s="170">
        <f t="shared" si="1"/>
        <v>13060125</v>
      </c>
      <c r="U14" s="170" cm="1">
        <f t="array" ref="U14">_xlfn.IFS(M14=1,1400000,M14=5,1725000,M14=12,2000000,M14=2,1225000,M14=20,1150000,M14=16,1150000,M14=9,1000000,M14=17,800000,M14=7,925000,M14=14,800000,M14=18,900000,M14=19,900000,M14=4,700000,M14=6,700000,M14=13,800000,M14=15,800000,M14=3,600000,M14=8,600000,M14=10,500000,M14=11,550000)</f>
        <v>1225000</v>
      </c>
      <c r="V14" s="180" cm="1">
        <f t="array" ref="V14">_xlfn.IFS(M14=1,1.25%,M14=5,1.25%,M14=12,1.5%,M14=2,2.25%,M14=20,1.75%,M14=16,1.5%,M14=9,2.25%,M14=17,1.25%,M14=7,1.75%,M14=14,2%,M14=18,1.75%,M14=19,1.75%,M14=4,2%,M14=6,2.25%,M14=13,1.5%,M14=15,2%,M14=3,2.25%,M14=8,1.5%,M14=10,1.75%,M14=11,2%)</f>
        <v>2.2499999999999999E-2</v>
      </c>
      <c r="W14" s="170">
        <f>Comparaison!$V14*Comparaison!$S14*Comparaison!$P14</f>
        <v>293852.8125</v>
      </c>
      <c r="X14" s="170">
        <f>T14-Comparaison!$U14-Comparaison!$W14</f>
        <v>11541272.1875</v>
      </c>
      <c r="Y14" s="175">
        <f>IF(Comparaison!$P14&lt;=50000,0,1)</f>
        <v>1</v>
      </c>
    </row>
    <row r="15" spans="1:25">
      <c r="A15" s="172">
        <v>12</v>
      </c>
      <c r="B15" s="162" t="s">
        <v>70</v>
      </c>
      <c r="C15" s="162" t="str" cm="1">
        <f t="array" ref="C15">_xlfn.IFS(A15&lt;=11,"Espagne",A15&lt;=17,"Maroc",A15&lt;=20,"Portugal")</f>
        <v>Maroc</v>
      </c>
      <c r="D15" s="163" cm="1">
        <f t="array" ref="D15">_xlfn.IFS(A15=1,85000,A15=5,105000,A15=12,115000,A15=2,66975,A15=20,64600,A15=16,63050,A15=9,55872,A15=17,59800,A15=7,49036,A15=14,44296,A15=18,47000,A15=19,47595,A15=4,37260,A15=6,40608,A15=13,44135,A15=15,41850,A15=3,30576,A15=8,32870,A15=10,26100,A15=11,28796)</f>
        <v>115000</v>
      </c>
      <c r="E15" s="169" cm="1">
        <f t="array" ref="E15">_xlfn.IFS(B15="A",22.5,B15="B",20,B15="C",17.5,B15="D",15,B15="E",12.5,B15="F",10,B15="G",7.5,B15="H",5,B15="I",2.5,B15="J",0)</f>
        <v>20</v>
      </c>
      <c r="F15" s="169" cm="1">
        <f t="array" ref="F15">_xlfn.IFS(C15="Espagne",175,C15="Maroc",135,C15="Portugal",140)</f>
        <v>135</v>
      </c>
      <c r="G15" s="165">
        <f t="shared" si="2"/>
        <v>155</v>
      </c>
      <c r="H15" s="165">
        <f t="shared" si="3"/>
        <v>17825000</v>
      </c>
      <c r="I15" s="166" cm="1">
        <f t="array" ref="I15">_xlfn.IFS(A15=1,1400000,A15=5,1725000,A15=12,2000000,A15=2,1225000,A15=20,1150000,A15=16,1150000,A15=9,1000000,A15=17,800000,A15=7,925000,A15=14,800000,A15=18,900000,A15=19,900000,A15=4,700000,A15=6,700000,A15=13,800000,A15=15,800000,A15=3,600000,A15=8,600000,A15=10,500000,A15=11,550000)</f>
        <v>2000000</v>
      </c>
      <c r="J15" s="165">
        <f t="shared" si="4"/>
        <v>15825000</v>
      </c>
      <c r="K15" s="176">
        <f>IF(Comparaison!$D15&lt;=50000,0,1)</f>
        <v>1</v>
      </c>
      <c r="M15" s="172">
        <v>5</v>
      </c>
      <c r="N15" s="162" t="s">
        <v>70</v>
      </c>
      <c r="O15" s="162" t="str" cm="1">
        <f t="array" ref="O15">_xlfn.IFS(M15&lt;=11,"Espagne",M15&lt;=17,"Maroc",M15&lt;=20,"Portugal")</f>
        <v>Espagne</v>
      </c>
      <c r="P15" s="163" cm="1">
        <f t="array" ref="P15">_xlfn.IFS(M15=1,85000,M15=5,105000,M15=12,115000,M15=2,66975,M15=20,64600,M15=16,63050,M15=9,55872,M15=17,59800,M15=7,49036,M15=14,44296,M15=18,47000,M15=19,47595,M15=4,37260,M15=6,40608,M15=13,44135,M15=15,41850,M15=3,30576,M15=8,32870,M15=10,26100,M15=11,28796)</f>
        <v>105000</v>
      </c>
      <c r="Q15" s="169" cm="1">
        <f t="array" ref="Q15">_xlfn.IFS(N15="A",22.5,N15="B",20,N15="C",17.5,N15="D",15,N15="E",12.5,N15="F",10,N15="G",7.5,N15="H",5,N15="I",2.5,N15="J",0)</f>
        <v>20</v>
      </c>
      <c r="R15" s="169" cm="1">
        <f t="array" ref="R15">_xlfn.IFS(O15="Espagne",175,O15="Maroc",135,O15="Portugal",140)</f>
        <v>175</v>
      </c>
      <c r="S15" s="165">
        <f t="shared" si="0"/>
        <v>195</v>
      </c>
      <c r="T15" s="165">
        <f t="shared" si="1"/>
        <v>20475000</v>
      </c>
      <c r="U15" s="165" cm="1">
        <f t="array" ref="U15">_xlfn.IFS(M15=1,1400000,M15=5,1725000,M15=12,2000000,M15=2,1225000,M15=20,1150000,M15=16,1150000,M15=9,1000000,M15=17,800000,M15=7,925000,M15=14,800000,M15=18,900000,M15=19,900000,M15=4,700000,M15=6,700000,M15=13,800000,M15=15,800000,M15=3,600000,M15=8,600000,M15=10,500000,M15=11,550000)</f>
        <v>1725000</v>
      </c>
      <c r="V15" s="179" cm="1">
        <f t="array" ref="V15">_xlfn.IFS(M15=1,1.25%,M15=5,1.25%,M15=12,1.5%,M15=2,2.25%,M15=20,1.75%,M15=16,1.5%,M15=9,2.25%,M15=17,1.25%,M15=7,1.75%,M15=14,2%,M15=18,1.75%,M15=19,1.75%,M15=4,2%,M15=6,2.25%,M15=13,1.5%,M15=15,2%,M15=3,2.25%,M15=8,1.5%,M15=10,1.75%,M15=11,2%)</f>
        <v>1.2500000000000001E-2</v>
      </c>
      <c r="W15" s="165">
        <f>Comparaison!$V15*Comparaison!$S15*Comparaison!$P15</f>
        <v>255937.5</v>
      </c>
      <c r="X15" s="165">
        <f>T15-Comparaison!$U15-Comparaison!$W15</f>
        <v>18494062.5</v>
      </c>
      <c r="Y15" s="176">
        <f>IF(Comparaison!$P15&lt;=50000,0,1)</f>
        <v>1</v>
      </c>
    </row>
    <row r="16" spans="1:25">
      <c r="A16" s="173">
        <v>12</v>
      </c>
      <c r="B16" s="167" t="s">
        <v>70</v>
      </c>
      <c r="C16" s="167" t="str" cm="1">
        <f t="array" ref="C16">_xlfn.IFS(A16&lt;=11,"Espagne",A16&lt;=17,"Maroc",A16&lt;=20,"Portugal")</f>
        <v>Maroc</v>
      </c>
      <c r="D16" s="168" cm="1">
        <f t="array" ref="D16">_xlfn.IFS(A16=1,85000,A16=5,105000,A16=12,115000,A16=2,66975,A16=20,64600,A16=16,63050,A16=9,55872,A16=17,59800,A16=7,49036,A16=14,44296,A16=18,47000,A16=19,47595,A16=4,37260,A16=6,40608,A16=13,44135,A16=15,41850,A16=3,30576,A16=8,32870,A16=10,26100,A16=11,28796)</f>
        <v>115000</v>
      </c>
      <c r="E16" s="169" cm="1">
        <f t="array" ref="E16">_xlfn.IFS(B16="A",22.5,B16="B",20,B16="C",17.5,B16="D",15,B16="E",12.5,B16="F",10,B16="G",7.5,B16="H",5,B16="I",2.5,B16="J",0)</f>
        <v>20</v>
      </c>
      <c r="F16" s="169" cm="1">
        <f t="array" ref="F16">_xlfn.IFS(C16="Espagne",175,C16="Maroc",135,C16="Portugal",140)</f>
        <v>135</v>
      </c>
      <c r="G16" s="170">
        <f t="shared" si="2"/>
        <v>155</v>
      </c>
      <c r="H16" s="170">
        <f t="shared" si="3"/>
        <v>17825000</v>
      </c>
      <c r="I16" s="171" cm="1">
        <f t="array" ref="I16">_xlfn.IFS(A16=1,1400000,A16=5,1725000,A16=12,2000000,A16=2,1225000,A16=20,1150000,A16=16,1150000,A16=9,1000000,A16=17,800000,A16=7,925000,A16=14,800000,A16=18,900000,A16=19,900000,A16=4,700000,A16=6,700000,A16=13,800000,A16=15,800000,A16=3,600000,A16=8,600000,A16=10,500000,A16=11,550000)</f>
        <v>2000000</v>
      </c>
      <c r="J16" s="170">
        <f t="shared" si="4"/>
        <v>15825000</v>
      </c>
      <c r="K16" s="175">
        <f>IF(Comparaison!$D16&lt;=50000,0,1)</f>
        <v>1</v>
      </c>
      <c r="M16" s="173">
        <v>5</v>
      </c>
      <c r="N16" s="167" t="s">
        <v>70</v>
      </c>
      <c r="O16" s="167" t="str" cm="1">
        <f t="array" ref="O16">_xlfn.IFS(M16&lt;=11,"Espagne",M16&lt;=17,"Maroc",M16&lt;=20,"Portugal")</f>
        <v>Espagne</v>
      </c>
      <c r="P16" s="168" cm="1">
        <f t="array" ref="P16">_xlfn.IFS(M16=1,85000,M16=5,105000,M16=12,115000,M16=2,66975,M16=20,64600,M16=16,63050,M16=9,55872,M16=17,59800,M16=7,49036,M16=14,44296,M16=18,47000,M16=19,47595,M16=4,37260,M16=6,40608,M16=13,44135,M16=15,41850,M16=3,30576,M16=8,32870,M16=10,26100,M16=11,28796)</f>
        <v>105000</v>
      </c>
      <c r="Q16" s="169" cm="1">
        <f t="array" ref="Q16">_xlfn.IFS(N16="A",22.5,N16="B",20,N16="C",17.5,N16="D",15,N16="E",12.5,N16="F",10,N16="G",7.5,N16="H",5,N16="I",2.5,N16="J",0)</f>
        <v>20</v>
      </c>
      <c r="R16" s="169" cm="1">
        <f t="array" ref="R16">_xlfn.IFS(O16="Espagne",175,O16="Maroc",135,O16="Portugal",140)</f>
        <v>175</v>
      </c>
      <c r="S16" s="170">
        <f t="shared" si="0"/>
        <v>195</v>
      </c>
      <c r="T16" s="170">
        <f t="shared" si="1"/>
        <v>20475000</v>
      </c>
      <c r="U16" s="170" cm="1">
        <f t="array" ref="U16">_xlfn.IFS(M16=1,1400000,M16=5,1725000,M16=12,2000000,M16=2,1225000,M16=20,1150000,M16=16,1150000,M16=9,1000000,M16=17,800000,M16=7,925000,M16=14,800000,M16=18,900000,M16=19,900000,M16=4,700000,M16=6,700000,M16=13,800000,M16=15,800000,M16=3,600000,M16=8,600000,M16=10,500000,M16=11,550000)</f>
        <v>1725000</v>
      </c>
      <c r="V16" s="180" cm="1">
        <f t="array" ref="V16">_xlfn.IFS(M16=1,1.25%,M16=5,1.25%,M16=12,1.5%,M16=2,2.25%,M16=20,1.75%,M16=16,1.5%,M16=9,2.25%,M16=17,1.25%,M16=7,1.75%,M16=14,2%,M16=18,1.75%,M16=19,1.75%,M16=4,2%,M16=6,2.25%,M16=13,1.5%,M16=15,2%,M16=3,2.25%,M16=8,1.5%,M16=10,1.75%,M16=11,2%)</f>
        <v>1.2500000000000001E-2</v>
      </c>
      <c r="W16" s="170">
        <f>Comparaison!$V16*Comparaison!$S16*Comparaison!$P16</f>
        <v>255937.5</v>
      </c>
      <c r="X16" s="170">
        <f>T16-Comparaison!$U16-Comparaison!$W16</f>
        <v>18494062.5</v>
      </c>
      <c r="Y16" s="175">
        <f>IF(Comparaison!$P16&lt;=50000,0,1)</f>
        <v>1</v>
      </c>
    </row>
    <row r="17" spans="1:25">
      <c r="A17" s="172">
        <v>1</v>
      </c>
      <c r="B17" s="162" t="s">
        <v>71</v>
      </c>
      <c r="C17" s="162" t="str" cm="1">
        <f t="array" ref="C17">_xlfn.IFS(A17&lt;=11,"Espagne",A17&lt;=17,"Maroc",A17&lt;=20,"Portugal")</f>
        <v>Espagne</v>
      </c>
      <c r="D17" s="163" cm="1">
        <f t="array" ref="D17">_xlfn.IFS(A17=1,85000,A17=5,105000,A17=12,115000,A17=2,66975,A17=20,64600,A17=16,63050,A17=9,55872,A17=17,59800,A17=7,49036,A17=14,44296,A17=18,47000,A17=19,47595,A17=4,37260,A17=6,40608,A17=13,44135,A17=15,41850,A17=3,30576,A17=8,32870,A17=10,26100,A17=11,28796)</f>
        <v>85000</v>
      </c>
      <c r="E17" s="169" cm="1">
        <f t="array" ref="E17">_xlfn.IFS(B17="A",22.5,B17="B",20,B17="C",17.5,B17="D",15,B17="E",12.5,B17="F",10,B17="G",7.5,B17="H",5,B17="I",2.5,B17="J",0)</f>
        <v>17.5</v>
      </c>
      <c r="F17" s="169" cm="1">
        <f t="array" ref="F17">_xlfn.IFS(C17="Espagne",175,C17="Maroc",135,C17="Portugal",140)</f>
        <v>175</v>
      </c>
      <c r="G17" s="165">
        <f t="shared" si="2"/>
        <v>192.5</v>
      </c>
      <c r="H17" s="165">
        <f t="shared" si="3"/>
        <v>16362500</v>
      </c>
      <c r="I17" s="166" cm="1">
        <f t="array" ref="I17">_xlfn.IFS(A17=1,1400000,A17=5,1725000,A17=12,2000000,A17=2,1225000,A17=20,1150000,A17=16,1150000,A17=9,1000000,A17=17,800000,A17=7,925000,A17=14,800000,A17=18,900000,A17=19,900000,A17=4,700000,A17=6,700000,A17=13,800000,A17=15,800000,A17=3,600000,A17=8,600000,A17=10,500000,A17=11,550000)</f>
        <v>1400000</v>
      </c>
      <c r="J17" s="165">
        <f t="shared" si="4"/>
        <v>14962500</v>
      </c>
      <c r="K17" s="176">
        <f>IF(Comparaison!$D17&lt;=50000,0,1)</f>
        <v>1</v>
      </c>
      <c r="M17" s="172">
        <v>1</v>
      </c>
      <c r="N17" s="162" t="s">
        <v>71</v>
      </c>
      <c r="O17" s="162" t="str" cm="1">
        <f t="array" ref="O17">_xlfn.IFS(M17&lt;=11,"Espagne",M17&lt;=17,"Maroc",M17&lt;=20,"Portugal")</f>
        <v>Espagne</v>
      </c>
      <c r="P17" s="163" cm="1">
        <f t="array" ref="P17">_xlfn.IFS(M17=1,85000,M17=5,105000,M17=12,115000,M17=2,66975,M17=20,64600,M17=16,63050,M17=9,55872,M17=17,59800,M17=7,49036,M17=14,44296,M17=18,47000,M17=19,47595,M17=4,37260,M17=6,40608,M17=13,44135,M17=15,41850,M17=3,30576,M17=8,32870,M17=10,26100,M17=11,28796)</f>
        <v>85000</v>
      </c>
      <c r="Q17" s="169" cm="1">
        <f t="array" ref="Q17">_xlfn.IFS(N17="A",22.5,N17="B",20,N17="C",17.5,N17="D",15,N17="E",12.5,N17="F",10,N17="G",7.5,N17="H",5,N17="I",2.5,N17="J",0)</f>
        <v>17.5</v>
      </c>
      <c r="R17" s="169" cm="1">
        <f t="array" ref="R17">_xlfn.IFS(O17="Espagne",175,O17="Maroc",135,O17="Portugal",140)</f>
        <v>175</v>
      </c>
      <c r="S17" s="165">
        <f t="shared" si="0"/>
        <v>192.5</v>
      </c>
      <c r="T17" s="165">
        <f t="shared" si="1"/>
        <v>16362500</v>
      </c>
      <c r="U17" s="165" cm="1">
        <f t="array" ref="U17">_xlfn.IFS(M17=1,1400000,M17=5,1725000,M17=12,2000000,M17=2,1225000,M17=20,1150000,M17=16,1150000,M17=9,1000000,M17=17,800000,M17=7,925000,M17=14,800000,M17=18,900000,M17=19,900000,M17=4,700000,M17=6,700000,M17=13,800000,M17=15,800000,M17=3,600000,M17=8,600000,M17=10,500000,M17=11,550000)</f>
        <v>1400000</v>
      </c>
      <c r="V17" s="179" cm="1">
        <f t="array" ref="V17">_xlfn.IFS(M17=1,1.25%,M17=5,1.25%,M17=12,1.5%,M17=2,2.25%,M17=20,1.75%,M17=16,1.5%,M17=9,2.25%,M17=17,1.25%,M17=7,1.75%,M17=14,2%,M17=18,1.75%,M17=19,1.75%,M17=4,2%,M17=6,2.25%,M17=13,1.5%,M17=15,2%,M17=3,2.25%,M17=8,1.5%,M17=10,1.75%,M17=11,2%)</f>
        <v>1.2500000000000001E-2</v>
      </c>
      <c r="W17" s="165">
        <f>Comparaison!$V17*Comparaison!$S17*Comparaison!$P17</f>
        <v>204531.25</v>
      </c>
      <c r="X17" s="165">
        <f>T17-Comparaison!$U17-Comparaison!$W17</f>
        <v>14757968.75</v>
      </c>
      <c r="Y17" s="176">
        <f>IF(Comparaison!$P17&lt;=50000,0,1)</f>
        <v>1</v>
      </c>
    </row>
    <row r="18" spans="1:25">
      <c r="A18" s="173">
        <v>2</v>
      </c>
      <c r="B18" s="167" t="s">
        <v>71</v>
      </c>
      <c r="C18" s="167" t="str" cm="1">
        <f t="array" ref="C18">_xlfn.IFS(A18&lt;=11,"Espagne",A18&lt;=17,"Maroc",A18&lt;=20,"Portugal")</f>
        <v>Espagne</v>
      </c>
      <c r="D18" s="168" cm="1">
        <f t="array" ref="D18">_xlfn.IFS(A18=1,85000,A18=5,105000,A18=12,115000,A18=2,66975,A18=20,64600,A18=16,63050,A18=9,55872,A18=17,59800,A18=7,49036,A18=14,44296,A18=18,47000,A18=19,47595,A18=4,37260,A18=6,40608,A18=13,44135,A18=15,41850,A18=3,30576,A18=8,32870,A18=10,26100,A18=11,28796)</f>
        <v>66975</v>
      </c>
      <c r="E18" s="169" cm="1">
        <f t="array" ref="E18">_xlfn.IFS(B18="A",22.5,B18="B",20,B18="C",17.5,B18="D",15,B18="E",12.5,B18="F",10,B18="G",7.5,B18="H",5,B18="I",2.5,B18="J",0)</f>
        <v>17.5</v>
      </c>
      <c r="F18" s="169" cm="1">
        <f t="array" ref="F18">_xlfn.IFS(C18="Espagne",175,C18="Maroc",135,C18="Portugal",140)</f>
        <v>175</v>
      </c>
      <c r="G18" s="170">
        <f t="shared" si="2"/>
        <v>192.5</v>
      </c>
      <c r="H18" s="170">
        <f t="shared" si="3"/>
        <v>12892687.5</v>
      </c>
      <c r="I18" s="171" cm="1">
        <f t="array" ref="I18">_xlfn.IFS(A18=1,1400000,A18=5,1725000,A18=12,2000000,A18=2,1225000,A18=20,1150000,A18=16,1150000,A18=9,1000000,A18=17,800000,A18=7,925000,A18=14,800000,A18=18,900000,A18=19,900000,A18=4,700000,A18=6,700000,A18=13,800000,A18=15,800000,A18=3,600000,A18=8,600000,A18=10,500000,A18=11,550000)</f>
        <v>1225000</v>
      </c>
      <c r="J18" s="170">
        <f t="shared" si="4"/>
        <v>11667687.5</v>
      </c>
      <c r="K18" s="175">
        <f>IF(Comparaison!$D18&lt;=50000,0,1)</f>
        <v>1</v>
      </c>
      <c r="M18" s="173">
        <v>1</v>
      </c>
      <c r="N18" s="167" t="s">
        <v>71</v>
      </c>
      <c r="O18" s="167" t="str" cm="1">
        <f t="array" ref="O18">_xlfn.IFS(M18&lt;=11,"Espagne",M18&lt;=17,"Maroc",M18&lt;=20,"Portugal")</f>
        <v>Espagne</v>
      </c>
      <c r="P18" s="168" cm="1">
        <f t="array" ref="P18">_xlfn.IFS(M18=1,85000,M18=5,105000,M18=12,115000,M18=2,66975,M18=20,64600,M18=16,63050,M18=9,55872,M18=17,59800,M18=7,49036,M18=14,44296,M18=18,47000,M18=19,47595,M18=4,37260,M18=6,40608,M18=13,44135,M18=15,41850,M18=3,30576,M18=8,32870,M18=10,26100,M18=11,28796)</f>
        <v>85000</v>
      </c>
      <c r="Q18" s="169" cm="1">
        <f t="array" ref="Q18">_xlfn.IFS(N18="A",22.5,N18="B",20,N18="C",17.5,N18="D",15,N18="E",12.5,N18="F",10,N18="G",7.5,N18="H",5,N18="I",2.5,N18="J",0)</f>
        <v>17.5</v>
      </c>
      <c r="R18" s="169" cm="1">
        <f t="array" ref="R18">_xlfn.IFS(O18="Espagne",175,O18="Maroc",135,O18="Portugal",140)</f>
        <v>175</v>
      </c>
      <c r="S18" s="170">
        <f t="shared" si="0"/>
        <v>192.5</v>
      </c>
      <c r="T18" s="170">
        <f t="shared" si="1"/>
        <v>16362500</v>
      </c>
      <c r="U18" s="170" cm="1">
        <f t="array" ref="U18">_xlfn.IFS(M18=1,1400000,M18=5,1725000,M18=12,2000000,M18=2,1225000,M18=20,1150000,M18=16,1150000,M18=9,1000000,M18=17,800000,M18=7,925000,M18=14,800000,M18=18,900000,M18=19,900000,M18=4,700000,M18=6,700000,M18=13,800000,M18=15,800000,M18=3,600000,M18=8,600000,M18=10,500000,M18=11,550000)</f>
        <v>1400000</v>
      </c>
      <c r="V18" s="180" cm="1">
        <f t="array" ref="V18">_xlfn.IFS(M18=1,1.25%,M18=5,1.25%,M18=12,1.5%,M18=2,2.25%,M18=20,1.75%,M18=16,1.5%,M18=9,2.25%,M18=17,1.25%,M18=7,1.75%,M18=14,2%,M18=18,1.75%,M18=19,1.75%,M18=4,2%,M18=6,2.25%,M18=13,1.5%,M18=15,2%,M18=3,2.25%,M18=8,1.5%,M18=10,1.75%,M18=11,2%)</f>
        <v>1.2500000000000001E-2</v>
      </c>
      <c r="W18" s="170">
        <f>Comparaison!$V18*Comparaison!$S18*Comparaison!$P18</f>
        <v>204531.25</v>
      </c>
      <c r="X18" s="170">
        <f>T18-Comparaison!$U18-Comparaison!$W18</f>
        <v>14757968.75</v>
      </c>
      <c r="Y18" s="175">
        <f>IF(Comparaison!$P18&lt;=50000,0,1)</f>
        <v>1</v>
      </c>
    </row>
    <row r="19" spans="1:25">
      <c r="A19" s="172">
        <v>2</v>
      </c>
      <c r="B19" s="162" t="s">
        <v>71</v>
      </c>
      <c r="C19" s="162" t="str" cm="1">
        <f t="array" ref="C19">_xlfn.IFS(A19&lt;=11,"Espagne",A19&lt;=17,"Maroc",A19&lt;=20,"Portugal")</f>
        <v>Espagne</v>
      </c>
      <c r="D19" s="163" cm="1">
        <f t="array" ref="D19">_xlfn.IFS(A19=1,85000,A19=5,105000,A19=12,115000,A19=2,66975,A19=20,64600,A19=16,63050,A19=9,55872,A19=17,59800,A19=7,49036,A19=14,44296,A19=18,47000,A19=19,47595,A19=4,37260,A19=6,40608,A19=13,44135,A19=15,41850,A19=3,30576,A19=8,32870,A19=10,26100,A19=11,28796)</f>
        <v>66975</v>
      </c>
      <c r="E19" s="169" cm="1">
        <f t="array" ref="E19">_xlfn.IFS(B19="A",22.5,B19="B",20,B19="C",17.5,B19="D",15,B19="E",12.5,B19="F",10,B19="G",7.5,B19="H",5,B19="I",2.5,B19="J",0)</f>
        <v>17.5</v>
      </c>
      <c r="F19" s="169" cm="1">
        <f t="array" ref="F19">_xlfn.IFS(C19="Espagne",175,C19="Maroc",135,C19="Portugal",140)</f>
        <v>175</v>
      </c>
      <c r="G19" s="165">
        <f t="shared" si="2"/>
        <v>192.5</v>
      </c>
      <c r="H19" s="165">
        <f t="shared" si="3"/>
        <v>12892687.5</v>
      </c>
      <c r="I19" s="166" cm="1">
        <f t="array" ref="I19">_xlfn.IFS(A19=1,1400000,A19=5,1725000,A19=12,2000000,A19=2,1225000,A19=20,1150000,A19=16,1150000,A19=9,1000000,A19=17,800000,A19=7,925000,A19=14,800000,A19=18,900000,A19=19,900000,A19=4,700000,A19=6,700000,A19=13,800000,A19=15,800000,A19=3,600000,A19=8,600000,A19=10,500000,A19=11,550000)</f>
        <v>1225000</v>
      </c>
      <c r="J19" s="165">
        <f t="shared" si="4"/>
        <v>11667687.5</v>
      </c>
      <c r="K19" s="176">
        <f>IF(Comparaison!$D19&lt;=50000,0,1)</f>
        <v>1</v>
      </c>
      <c r="M19" s="172">
        <v>2</v>
      </c>
      <c r="N19" s="162" t="s">
        <v>71</v>
      </c>
      <c r="O19" s="162" t="str" cm="1">
        <f t="array" ref="O19">_xlfn.IFS(M19&lt;=11,"Espagne",M19&lt;=17,"Maroc",M19&lt;=20,"Portugal")</f>
        <v>Espagne</v>
      </c>
      <c r="P19" s="163" cm="1">
        <f t="array" ref="P19">_xlfn.IFS(M19=1,85000,M19=5,105000,M19=12,115000,M19=2,66975,M19=20,64600,M19=16,63050,M19=9,55872,M19=17,59800,M19=7,49036,M19=14,44296,M19=18,47000,M19=19,47595,M19=4,37260,M19=6,40608,M19=13,44135,M19=15,41850,M19=3,30576,M19=8,32870,M19=10,26100,M19=11,28796)</f>
        <v>66975</v>
      </c>
      <c r="Q19" s="169" cm="1">
        <f t="array" ref="Q19">_xlfn.IFS(N19="A",22.5,N19="B",20,N19="C",17.5,N19="D",15,N19="E",12.5,N19="F",10,N19="G",7.5,N19="H",5,N19="I",2.5,N19="J",0)</f>
        <v>17.5</v>
      </c>
      <c r="R19" s="169" cm="1">
        <f t="array" ref="R19">_xlfn.IFS(O19="Espagne",175,O19="Maroc",135,O19="Portugal",140)</f>
        <v>175</v>
      </c>
      <c r="S19" s="165">
        <f t="shared" si="0"/>
        <v>192.5</v>
      </c>
      <c r="T19" s="165">
        <f t="shared" si="1"/>
        <v>12892687.5</v>
      </c>
      <c r="U19" s="165" cm="1">
        <f t="array" ref="U19">_xlfn.IFS(M19=1,1400000,M19=5,1725000,M19=12,2000000,M19=2,1225000,M19=20,1150000,M19=16,1150000,M19=9,1000000,M19=17,800000,M19=7,925000,M19=14,800000,M19=18,900000,M19=19,900000,M19=4,700000,M19=6,700000,M19=13,800000,M19=15,800000,M19=3,600000,M19=8,600000,M19=10,500000,M19=11,550000)</f>
        <v>1225000</v>
      </c>
      <c r="V19" s="179" cm="1">
        <f t="array" ref="V19">_xlfn.IFS(M19=1,1.25%,M19=5,1.25%,M19=12,1.5%,M19=2,2.25%,M19=20,1.75%,M19=16,1.5%,M19=9,2.25%,M19=17,1.25%,M19=7,1.75%,M19=14,2%,M19=18,1.75%,M19=19,1.75%,M19=4,2%,M19=6,2.25%,M19=13,1.5%,M19=15,2%,M19=3,2.25%,M19=8,1.5%,M19=10,1.75%,M19=11,2%)</f>
        <v>2.2499999999999999E-2</v>
      </c>
      <c r="W19" s="165">
        <f>Comparaison!$V19*Comparaison!$S19*Comparaison!$P19</f>
        <v>290085.46875</v>
      </c>
      <c r="X19" s="165">
        <f>T19-Comparaison!$U19-Comparaison!$W19</f>
        <v>11377602.03125</v>
      </c>
      <c r="Y19" s="176">
        <f>IF(Comparaison!$P19&lt;=50000,0,1)</f>
        <v>1</v>
      </c>
    </row>
    <row r="20" spans="1:25">
      <c r="A20" s="173">
        <v>5</v>
      </c>
      <c r="B20" s="167" t="s">
        <v>71</v>
      </c>
      <c r="C20" s="167" t="str" cm="1">
        <f t="array" ref="C20">_xlfn.IFS(A20&lt;=11,"Espagne",A20&lt;=17,"Maroc",A20&lt;=20,"Portugal")</f>
        <v>Espagne</v>
      </c>
      <c r="D20" s="168" cm="1">
        <f t="array" ref="D20">_xlfn.IFS(A20=1,85000,A20=5,105000,A20=12,115000,A20=2,66975,A20=20,64600,A20=16,63050,A20=9,55872,A20=17,59800,A20=7,49036,A20=14,44296,A20=18,47000,A20=19,47595,A20=4,37260,A20=6,40608,A20=13,44135,A20=15,41850,A20=3,30576,A20=8,32870,A20=10,26100,A20=11,28796)</f>
        <v>105000</v>
      </c>
      <c r="E20" s="169" cm="1">
        <f t="array" ref="E20">_xlfn.IFS(B20="A",22.5,B20="B",20,B20="C",17.5,B20="D",15,B20="E",12.5,B20="F",10,B20="G",7.5,B20="H",5,B20="I",2.5,B20="J",0)</f>
        <v>17.5</v>
      </c>
      <c r="F20" s="169" cm="1">
        <f t="array" ref="F20">_xlfn.IFS(C20="Espagne",175,C20="Maroc",135,C20="Portugal",140)</f>
        <v>175</v>
      </c>
      <c r="G20" s="170">
        <f t="shared" si="2"/>
        <v>192.5</v>
      </c>
      <c r="H20" s="170">
        <f t="shared" si="3"/>
        <v>20212500</v>
      </c>
      <c r="I20" s="171" cm="1">
        <f t="array" ref="I20">_xlfn.IFS(A20=1,1400000,A20=5,1725000,A20=12,2000000,A20=2,1225000,A20=20,1150000,A20=16,1150000,A20=9,1000000,A20=17,800000,A20=7,925000,A20=14,800000,A20=18,900000,A20=19,900000,A20=4,700000,A20=6,700000,A20=13,800000,A20=15,800000,A20=3,600000,A20=8,600000,A20=10,500000,A20=11,550000)</f>
        <v>1725000</v>
      </c>
      <c r="J20" s="170">
        <f t="shared" si="4"/>
        <v>18487500</v>
      </c>
      <c r="K20" s="175">
        <f>IF(Comparaison!$D20&lt;=50000,0,1)</f>
        <v>1</v>
      </c>
      <c r="M20" s="173">
        <v>5</v>
      </c>
      <c r="N20" s="167" t="s">
        <v>71</v>
      </c>
      <c r="O20" s="167" t="str" cm="1">
        <f t="array" ref="O20">_xlfn.IFS(M20&lt;=11,"Espagne",M20&lt;=17,"Maroc",M20&lt;=20,"Portugal")</f>
        <v>Espagne</v>
      </c>
      <c r="P20" s="168" cm="1">
        <f t="array" ref="P20">_xlfn.IFS(M20=1,85000,M20=5,105000,M20=12,115000,M20=2,66975,M20=20,64600,M20=16,63050,M20=9,55872,M20=17,59800,M20=7,49036,M20=14,44296,M20=18,47000,M20=19,47595,M20=4,37260,M20=6,40608,M20=13,44135,M20=15,41850,M20=3,30576,M20=8,32870,M20=10,26100,M20=11,28796)</f>
        <v>105000</v>
      </c>
      <c r="Q20" s="169" cm="1">
        <f t="array" ref="Q20">_xlfn.IFS(N20="A",22.5,N20="B",20,N20="C",17.5,N20="D",15,N20="E",12.5,N20="F",10,N20="G",7.5,N20="H",5,N20="I",2.5,N20="J",0)</f>
        <v>17.5</v>
      </c>
      <c r="R20" s="169" cm="1">
        <f t="array" ref="R20">_xlfn.IFS(O20="Espagne",175,O20="Maroc",135,O20="Portugal",140)</f>
        <v>175</v>
      </c>
      <c r="S20" s="170">
        <f t="shared" si="0"/>
        <v>192.5</v>
      </c>
      <c r="T20" s="170">
        <f t="shared" si="1"/>
        <v>20212500</v>
      </c>
      <c r="U20" s="170" cm="1">
        <f t="array" ref="U20">_xlfn.IFS(M20=1,1400000,M20=5,1725000,M20=12,2000000,M20=2,1225000,M20=20,1150000,M20=16,1150000,M20=9,1000000,M20=17,800000,M20=7,925000,M20=14,800000,M20=18,900000,M20=19,900000,M20=4,700000,M20=6,700000,M20=13,800000,M20=15,800000,M20=3,600000,M20=8,600000,M20=10,500000,M20=11,550000)</f>
        <v>1725000</v>
      </c>
      <c r="V20" s="180" cm="1">
        <f t="array" ref="V20">_xlfn.IFS(M20=1,1.25%,M20=5,1.25%,M20=12,1.5%,M20=2,2.25%,M20=20,1.75%,M20=16,1.5%,M20=9,2.25%,M20=17,1.25%,M20=7,1.75%,M20=14,2%,M20=18,1.75%,M20=19,1.75%,M20=4,2%,M20=6,2.25%,M20=13,1.5%,M20=15,2%,M20=3,2.25%,M20=8,1.5%,M20=10,1.75%,M20=11,2%)</f>
        <v>1.2500000000000001E-2</v>
      </c>
      <c r="W20" s="170">
        <f>Comparaison!$V20*Comparaison!$S20*Comparaison!$P20</f>
        <v>252656.25</v>
      </c>
      <c r="X20" s="170">
        <f>T20-Comparaison!$U20-Comparaison!$W20</f>
        <v>18234843.75</v>
      </c>
      <c r="Y20" s="175">
        <f>IF(Comparaison!$P20&lt;=50000,0,1)</f>
        <v>1</v>
      </c>
    </row>
    <row r="21" spans="1:25">
      <c r="A21" s="172">
        <v>12</v>
      </c>
      <c r="B21" s="162" t="s">
        <v>71</v>
      </c>
      <c r="C21" s="162" t="str" cm="1">
        <f t="array" ref="C21">_xlfn.IFS(A21&lt;=11,"Espagne",A21&lt;=17,"Maroc",A21&lt;=20,"Portugal")</f>
        <v>Maroc</v>
      </c>
      <c r="D21" s="163" cm="1">
        <f t="array" ref="D21">_xlfn.IFS(A21=1,85000,A21=5,105000,A21=12,115000,A21=2,66975,A21=20,64600,A21=16,63050,A21=9,55872,A21=17,59800,A21=7,49036,A21=14,44296,A21=18,47000,A21=19,47595,A21=4,37260,A21=6,40608,A21=13,44135,A21=15,41850,A21=3,30576,A21=8,32870,A21=10,26100,A21=11,28796)</f>
        <v>115000</v>
      </c>
      <c r="E21" s="169" cm="1">
        <f t="array" ref="E21">_xlfn.IFS(B21="A",22.5,B21="B",20,B21="C",17.5,B21="D",15,B21="E",12.5,B21="F",10,B21="G",7.5,B21="H",5,B21="I",2.5,B21="J",0)</f>
        <v>17.5</v>
      </c>
      <c r="F21" s="169" cm="1">
        <f t="array" ref="F21">_xlfn.IFS(C21="Espagne",175,C21="Maroc",135,C21="Portugal",140)</f>
        <v>135</v>
      </c>
      <c r="G21" s="165">
        <f t="shared" si="2"/>
        <v>152.5</v>
      </c>
      <c r="H21" s="165">
        <f t="shared" si="3"/>
        <v>17537500</v>
      </c>
      <c r="I21" s="166" cm="1">
        <f t="array" ref="I21">_xlfn.IFS(A21=1,1400000,A21=5,1725000,A21=12,2000000,A21=2,1225000,A21=20,1150000,A21=16,1150000,A21=9,1000000,A21=17,800000,A21=7,925000,A21=14,800000,A21=18,900000,A21=19,900000,A21=4,700000,A21=6,700000,A21=13,800000,A21=15,800000,A21=3,600000,A21=8,600000,A21=10,500000,A21=11,550000)</f>
        <v>2000000</v>
      </c>
      <c r="J21" s="165">
        <f t="shared" si="4"/>
        <v>15537500</v>
      </c>
      <c r="K21" s="176">
        <f>IF(Comparaison!$D21&lt;=50000,0,1)</f>
        <v>1</v>
      </c>
      <c r="M21" s="172">
        <v>5</v>
      </c>
      <c r="N21" s="162" t="s">
        <v>71</v>
      </c>
      <c r="O21" s="162" t="str" cm="1">
        <f t="array" ref="O21">_xlfn.IFS(M21&lt;=11,"Espagne",M21&lt;=17,"Maroc",M21&lt;=20,"Portugal")</f>
        <v>Espagne</v>
      </c>
      <c r="P21" s="163" cm="1">
        <f t="array" ref="P21">_xlfn.IFS(M21=1,85000,M21=5,105000,M21=12,115000,M21=2,66975,M21=20,64600,M21=16,63050,M21=9,55872,M21=17,59800,M21=7,49036,M21=14,44296,M21=18,47000,M21=19,47595,M21=4,37260,M21=6,40608,M21=13,44135,M21=15,41850,M21=3,30576,M21=8,32870,M21=10,26100,M21=11,28796)</f>
        <v>105000</v>
      </c>
      <c r="Q21" s="169" cm="1">
        <f t="array" ref="Q21">_xlfn.IFS(N21="A",22.5,N21="B",20,N21="C",17.5,N21="D",15,N21="E",12.5,N21="F",10,N21="G",7.5,N21="H",5,N21="I",2.5,N21="J",0)</f>
        <v>17.5</v>
      </c>
      <c r="R21" s="169" cm="1">
        <f t="array" ref="R21">_xlfn.IFS(O21="Espagne",175,O21="Maroc",135,O21="Portugal",140)</f>
        <v>175</v>
      </c>
      <c r="S21" s="165">
        <f t="shared" si="0"/>
        <v>192.5</v>
      </c>
      <c r="T21" s="165">
        <f t="shared" si="1"/>
        <v>20212500</v>
      </c>
      <c r="U21" s="165" cm="1">
        <f t="array" ref="U21">_xlfn.IFS(M21=1,1400000,M21=5,1725000,M21=12,2000000,M21=2,1225000,M21=20,1150000,M21=16,1150000,M21=9,1000000,M21=17,800000,M21=7,925000,M21=14,800000,M21=18,900000,M21=19,900000,M21=4,700000,M21=6,700000,M21=13,800000,M21=15,800000,M21=3,600000,M21=8,600000,M21=10,500000,M21=11,550000)</f>
        <v>1725000</v>
      </c>
      <c r="V21" s="179" cm="1">
        <f t="array" ref="V21">_xlfn.IFS(M21=1,1.25%,M21=5,1.25%,M21=12,1.5%,M21=2,2.25%,M21=20,1.75%,M21=16,1.5%,M21=9,2.25%,M21=17,1.25%,M21=7,1.75%,M21=14,2%,M21=18,1.75%,M21=19,1.75%,M21=4,2%,M21=6,2.25%,M21=13,1.5%,M21=15,2%,M21=3,2.25%,M21=8,1.5%,M21=10,1.75%,M21=11,2%)</f>
        <v>1.2500000000000001E-2</v>
      </c>
      <c r="W21" s="165">
        <f>Comparaison!$V21*Comparaison!$S21*Comparaison!$P21</f>
        <v>252656.25</v>
      </c>
      <c r="X21" s="165">
        <f>T21-Comparaison!$U21-Comparaison!$W21</f>
        <v>18234843.75</v>
      </c>
      <c r="Y21" s="176">
        <f>IF(Comparaison!$P21&lt;=50000,0,1)</f>
        <v>1</v>
      </c>
    </row>
    <row r="22" spans="1:25">
      <c r="A22" s="173">
        <v>20</v>
      </c>
      <c r="B22" s="167" t="s">
        <v>71</v>
      </c>
      <c r="C22" s="167" t="str" cm="1">
        <f t="array" ref="C22">_xlfn.IFS(A22&lt;=11,"Espagne",A22&lt;=17,"Maroc",A22&lt;=20,"Portugal")</f>
        <v>Portugal</v>
      </c>
      <c r="D22" s="168" cm="1">
        <f t="array" ref="D22">_xlfn.IFS(A22=1,85000,A22=5,105000,A22=12,115000,A22=2,66975,A22=20,64600,A22=16,63050,A22=9,55872,A22=17,59800,A22=7,49036,A22=14,44296,A22=18,47000,A22=19,47595,A22=4,37260,A22=6,40608,A22=13,44135,A22=15,41850,A22=3,30576,A22=8,32870,A22=10,26100,A22=11,28796)</f>
        <v>64600</v>
      </c>
      <c r="E22" s="169" cm="1">
        <f t="array" ref="E22">_xlfn.IFS(B22="A",22.5,B22="B",20,B22="C",17.5,B22="D",15,B22="E",12.5,B22="F",10,B22="G",7.5,B22="H",5,B22="I",2.5,B22="J",0)</f>
        <v>17.5</v>
      </c>
      <c r="F22" s="169" cm="1">
        <f t="array" ref="F22">_xlfn.IFS(C22="Espagne",175,C22="Maroc",135,C22="Portugal",140)</f>
        <v>140</v>
      </c>
      <c r="G22" s="170">
        <f t="shared" si="2"/>
        <v>157.5</v>
      </c>
      <c r="H22" s="170">
        <f t="shared" si="3"/>
        <v>10174500</v>
      </c>
      <c r="I22" s="171" cm="1">
        <f t="array" ref="I22">_xlfn.IFS(A22=1,1400000,A22=5,1725000,A22=12,2000000,A22=2,1225000,A22=20,1150000,A22=16,1150000,A22=9,1000000,A22=17,800000,A22=7,925000,A22=14,800000,A22=18,900000,A22=19,900000,A22=4,700000,A22=6,700000,A22=13,800000,A22=15,800000,A22=3,600000,A22=8,600000,A22=10,500000,A22=11,550000)</f>
        <v>1150000</v>
      </c>
      <c r="J22" s="170">
        <f t="shared" si="4"/>
        <v>9024500</v>
      </c>
      <c r="K22" s="175">
        <f>IF(Comparaison!$D22&lt;=50000,0,1)</f>
        <v>1</v>
      </c>
      <c r="M22" s="173">
        <v>20</v>
      </c>
      <c r="N22" s="167" t="s">
        <v>71</v>
      </c>
      <c r="O22" s="167" t="str" cm="1">
        <f t="array" ref="O22">_xlfn.IFS(M22&lt;=11,"Espagne",M22&lt;=17,"Maroc",M22&lt;=20,"Portugal")</f>
        <v>Portugal</v>
      </c>
      <c r="P22" s="168" cm="1">
        <f t="array" ref="P22">_xlfn.IFS(M22=1,85000,M22=5,105000,M22=12,115000,M22=2,66975,M22=20,64600,M22=16,63050,M22=9,55872,M22=17,59800,M22=7,49036,M22=14,44296,M22=18,47000,M22=19,47595,M22=4,37260,M22=6,40608,M22=13,44135,M22=15,41850,M22=3,30576,M22=8,32870,M22=10,26100,M22=11,28796)</f>
        <v>64600</v>
      </c>
      <c r="Q22" s="169" cm="1">
        <f t="array" ref="Q22">_xlfn.IFS(N22="A",22.5,N22="B",20,N22="C",17.5,N22="D",15,N22="E",12.5,N22="F",10,N22="G",7.5,N22="H",5,N22="I",2.5,N22="J",0)</f>
        <v>17.5</v>
      </c>
      <c r="R22" s="169" cm="1">
        <f t="array" ref="R22">_xlfn.IFS(O22="Espagne",175,O22="Maroc",135,O22="Portugal",140)</f>
        <v>140</v>
      </c>
      <c r="S22" s="170">
        <f t="shared" si="0"/>
        <v>157.5</v>
      </c>
      <c r="T22" s="170">
        <f t="shared" si="1"/>
        <v>10174500</v>
      </c>
      <c r="U22" s="170" cm="1">
        <f t="array" ref="U22">_xlfn.IFS(M22=1,1400000,M22=5,1725000,M22=12,2000000,M22=2,1225000,M22=20,1150000,M22=16,1150000,M22=9,1000000,M22=17,800000,M22=7,925000,M22=14,800000,M22=18,900000,M22=19,900000,M22=4,700000,M22=6,700000,M22=13,800000,M22=15,800000,M22=3,600000,M22=8,600000,M22=10,500000,M22=11,550000)</f>
        <v>1150000</v>
      </c>
      <c r="V22" s="180" cm="1">
        <f t="array" ref="V22">_xlfn.IFS(M22=1,1.25%,M22=5,1.25%,M22=12,1.5%,M22=2,2.25%,M22=20,1.75%,M22=16,1.5%,M22=9,2.25%,M22=17,1.25%,M22=7,1.75%,M22=14,2%,M22=18,1.75%,M22=19,1.75%,M22=4,2%,M22=6,2.25%,M22=13,1.5%,M22=15,2%,M22=3,2.25%,M22=8,1.5%,M22=10,1.75%,M22=11,2%)</f>
        <v>1.7500000000000002E-2</v>
      </c>
      <c r="W22" s="170">
        <f>Comparaison!$V22*Comparaison!$S22*Comparaison!$P22</f>
        <v>178053.75</v>
      </c>
      <c r="X22" s="170">
        <f>T22-Comparaison!$U22-Comparaison!$W22</f>
        <v>8846446.25</v>
      </c>
      <c r="Y22" s="175">
        <f>IF(Comparaison!$P22&lt;=50000,0,1)</f>
        <v>1</v>
      </c>
    </row>
    <row r="23" spans="1:25">
      <c r="A23" s="172">
        <v>2</v>
      </c>
      <c r="B23" s="162" t="s">
        <v>72</v>
      </c>
      <c r="C23" s="162" t="str" cm="1">
        <f t="array" ref="C23">_xlfn.IFS(A23&lt;=11,"Espagne",A23&lt;=17,"Maroc",A23&lt;=20,"Portugal")</f>
        <v>Espagne</v>
      </c>
      <c r="D23" s="163" cm="1">
        <f t="array" ref="D23">_xlfn.IFS(A23=1,85000,A23=5,105000,A23=12,115000,A23=2,66975,A23=20,64600,A23=16,63050,A23=9,55872,A23=17,59800,A23=7,49036,A23=14,44296,A23=18,47000,A23=19,47595,A23=4,37260,A23=6,40608,A23=13,44135,A23=15,41850,A23=3,30576,A23=8,32870,A23=10,26100,A23=11,28796)</f>
        <v>66975</v>
      </c>
      <c r="E23" s="169" cm="1">
        <f t="array" ref="E23">_xlfn.IFS(B23="A",22.5,B23="B",20,B23="C",17.5,B23="D",15,B23="E",12.5,B23="F",10,B23="G",7.5,B23="H",5,B23="I",2.5,B23="J",0)</f>
        <v>15</v>
      </c>
      <c r="F23" s="169" cm="1">
        <f t="array" ref="F23">_xlfn.IFS(C23="Espagne",175,C23="Maroc",135,C23="Portugal",140)</f>
        <v>175</v>
      </c>
      <c r="G23" s="165">
        <f t="shared" si="2"/>
        <v>190</v>
      </c>
      <c r="H23" s="165">
        <f t="shared" si="3"/>
        <v>12725250</v>
      </c>
      <c r="I23" s="166" cm="1">
        <f t="array" ref="I23">_xlfn.IFS(A23=1,1400000,A23=5,1725000,A23=12,2000000,A23=2,1225000,A23=20,1150000,A23=16,1150000,A23=9,1000000,A23=17,800000,A23=7,925000,A23=14,800000,A23=18,900000,A23=19,900000,A23=4,700000,A23=6,700000,A23=13,800000,A23=15,800000,A23=3,600000,A23=8,600000,A23=10,500000,A23=11,550000)</f>
        <v>1225000</v>
      </c>
      <c r="J23" s="165">
        <f t="shared" si="4"/>
        <v>11500250</v>
      </c>
      <c r="K23" s="176">
        <f>IF(Comparaison!$D23&lt;=50000,0,1)</f>
        <v>1</v>
      </c>
      <c r="M23" s="172">
        <v>12</v>
      </c>
      <c r="N23" s="162" t="s">
        <v>72</v>
      </c>
      <c r="O23" s="162" t="str" cm="1">
        <f t="array" ref="O23">_xlfn.IFS(M23&lt;=11,"Espagne",M23&lt;=17,"Maroc",M23&lt;=20,"Portugal")</f>
        <v>Maroc</v>
      </c>
      <c r="P23" s="163" cm="1">
        <f t="array" ref="P23">_xlfn.IFS(M23=1,85000,M23=5,105000,M23=12,115000,M23=2,66975,M23=20,64600,M23=16,63050,M23=9,55872,M23=17,59800,M23=7,49036,M23=14,44296,M23=18,47000,M23=19,47595,M23=4,37260,M23=6,40608,M23=13,44135,M23=15,41850,M23=3,30576,M23=8,32870,M23=10,26100,M23=11,28796)</f>
        <v>115000</v>
      </c>
      <c r="Q23" s="169" cm="1">
        <f t="array" ref="Q23">_xlfn.IFS(N23="A",22.5,N23="B",20,N23="C",17.5,N23="D",15,N23="E",12.5,N23="F",10,N23="G",7.5,N23="H",5,N23="I",2.5,N23="J",0)</f>
        <v>15</v>
      </c>
      <c r="R23" s="169" cm="1">
        <f t="array" ref="R23">_xlfn.IFS(O23="Espagne",175,O23="Maroc",135,O23="Portugal",140)</f>
        <v>135</v>
      </c>
      <c r="S23" s="165">
        <f t="shared" si="0"/>
        <v>150</v>
      </c>
      <c r="T23" s="165">
        <f t="shared" si="1"/>
        <v>17250000</v>
      </c>
      <c r="U23" s="165" cm="1">
        <f t="array" ref="U23">_xlfn.IFS(M23=1,1400000,M23=5,1725000,M23=12,2000000,M23=2,1225000,M23=20,1150000,M23=16,1150000,M23=9,1000000,M23=17,800000,M23=7,925000,M23=14,800000,M23=18,900000,M23=19,900000,M23=4,700000,M23=6,700000,M23=13,800000,M23=15,800000,M23=3,600000,M23=8,600000,M23=10,500000,M23=11,550000)</f>
        <v>2000000</v>
      </c>
      <c r="V23" s="179" cm="1">
        <f t="array" ref="V23">_xlfn.IFS(M23=1,1.25%,M23=5,1.25%,M23=12,1.5%,M23=2,2.25%,M23=20,1.75%,M23=16,1.5%,M23=9,2.25%,M23=17,1.25%,M23=7,1.75%,M23=14,2%,M23=18,1.75%,M23=19,1.75%,M23=4,2%,M23=6,2.25%,M23=13,1.5%,M23=15,2%,M23=3,2.25%,M23=8,1.5%,M23=10,1.75%,M23=11,2%)</f>
        <v>1.4999999999999999E-2</v>
      </c>
      <c r="W23" s="165">
        <f>Comparaison!$V23*Comparaison!$S23*Comparaison!$P23</f>
        <v>258750</v>
      </c>
      <c r="X23" s="165">
        <f>T23-Comparaison!$U23-Comparaison!$W23</f>
        <v>14991250</v>
      </c>
      <c r="Y23" s="176">
        <f>IF(Comparaison!$P23&lt;=50000,0,1)</f>
        <v>1</v>
      </c>
    </row>
    <row r="24" spans="1:25">
      <c r="A24" s="173">
        <v>2</v>
      </c>
      <c r="B24" s="167" t="s">
        <v>72</v>
      </c>
      <c r="C24" s="167" t="str" cm="1">
        <f t="array" ref="C24">_xlfn.IFS(A24&lt;=11,"Espagne",A24&lt;=17,"Maroc",A24&lt;=20,"Portugal")</f>
        <v>Espagne</v>
      </c>
      <c r="D24" s="168" cm="1">
        <f t="array" ref="D24">_xlfn.IFS(A24=1,85000,A24=5,105000,A24=12,115000,A24=2,66975,A24=20,64600,A24=16,63050,A24=9,55872,A24=17,59800,A24=7,49036,A24=14,44296,A24=18,47000,A24=19,47595,A24=4,37260,A24=6,40608,A24=13,44135,A24=15,41850,A24=3,30576,A24=8,32870,A24=10,26100,A24=11,28796)</f>
        <v>66975</v>
      </c>
      <c r="E24" s="169" cm="1">
        <f t="array" ref="E24">_xlfn.IFS(B24="A",22.5,B24="B",20,B24="C",17.5,B24="D",15,B24="E",12.5,B24="F",10,B24="G",7.5,B24="H",5,B24="I",2.5,B24="J",0)</f>
        <v>15</v>
      </c>
      <c r="F24" s="169" cm="1">
        <f t="array" ref="F24">_xlfn.IFS(C24="Espagne",175,C24="Maroc",135,C24="Portugal",140)</f>
        <v>175</v>
      </c>
      <c r="G24" s="170">
        <f t="shared" si="2"/>
        <v>190</v>
      </c>
      <c r="H24" s="170">
        <f t="shared" si="3"/>
        <v>12725250</v>
      </c>
      <c r="I24" s="171" cm="1">
        <f t="array" ref="I24">_xlfn.IFS(A24=1,1400000,A24=5,1725000,A24=12,2000000,A24=2,1225000,A24=20,1150000,A24=16,1150000,A24=9,1000000,A24=17,800000,A24=7,925000,A24=14,800000,A24=18,900000,A24=19,900000,A24=4,700000,A24=6,700000,A24=13,800000,A24=15,800000,A24=3,600000,A24=8,600000,A24=10,500000,A24=11,550000)</f>
        <v>1225000</v>
      </c>
      <c r="J24" s="170">
        <f t="shared" si="4"/>
        <v>11500250</v>
      </c>
      <c r="K24" s="175">
        <f>IF(Comparaison!$D24&lt;=50000,0,1)</f>
        <v>1</v>
      </c>
      <c r="M24" s="173">
        <v>12</v>
      </c>
      <c r="N24" s="167" t="s">
        <v>72</v>
      </c>
      <c r="O24" s="167" t="str" cm="1">
        <f t="array" ref="O24">_xlfn.IFS(M24&lt;=11,"Espagne",M24&lt;=17,"Maroc",M24&lt;=20,"Portugal")</f>
        <v>Maroc</v>
      </c>
      <c r="P24" s="168" cm="1">
        <f t="array" ref="P24">_xlfn.IFS(M24=1,85000,M24=5,105000,M24=12,115000,M24=2,66975,M24=20,64600,M24=16,63050,M24=9,55872,M24=17,59800,M24=7,49036,M24=14,44296,M24=18,47000,M24=19,47595,M24=4,37260,M24=6,40608,M24=13,44135,M24=15,41850,M24=3,30576,M24=8,32870,M24=10,26100,M24=11,28796)</f>
        <v>115000</v>
      </c>
      <c r="Q24" s="169" cm="1">
        <f t="array" ref="Q24">_xlfn.IFS(N24="A",22.5,N24="B",20,N24="C",17.5,N24="D",15,N24="E",12.5,N24="F",10,N24="G",7.5,N24="H",5,N24="I",2.5,N24="J",0)</f>
        <v>15</v>
      </c>
      <c r="R24" s="169" cm="1">
        <f t="array" ref="R24">_xlfn.IFS(O24="Espagne",175,O24="Maroc",135,O24="Portugal",140)</f>
        <v>135</v>
      </c>
      <c r="S24" s="170">
        <f t="shared" si="0"/>
        <v>150</v>
      </c>
      <c r="T24" s="170">
        <f t="shared" si="1"/>
        <v>17250000</v>
      </c>
      <c r="U24" s="170" cm="1">
        <f t="array" ref="U24">_xlfn.IFS(M24=1,1400000,M24=5,1725000,M24=12,2000000,M24=2,1225000,M24=20,1150000,M24=16,1150000,M24=9,1000000,M24=17,800000,M24=7,925000,M24=14,800000,M24=18,900000,M24=19,900000,M24=4,700000,M24=6,700000,M24=13,800000,M24=15,800000,M24=3,600000,M24=8,600000,M24=10,500000,M24=11,550000)</f>
        <v>2000000</v>
      </c>
      <c r="V24" s="180" cm="1">
        <f t="array" ref="V24">_xlfn.IFS(M24=1,1.25%,M24=5,1.25%,M24=12,1.5%,M24=2,2.25%,M24=20,1.75%,M24=16,1.5%,M24=9,2.25%,M24=17,1.25%,M24=7,1.75%,M24=14,2%,M24=18,1.75%,M24=19,1.75%,M24=4,2%,M24=6,2.25%,M24=13,1.5%,M24=15,2%,M24=3,2.25%,M24=8,1.5%,M24=10,1.75%,M24=11,2%)</f>
        <v>1.4999999999999999E-2</v>
      </c>
      <c r="W24" s="170">
        <f>Comparaison!$V24*Comparaison!$S24*Comparaison!$P24</f>
        <v>258750</v>
      </c>
      <c r="X24" s="170">
        <f>T24-Comparaison!$U24-Comparaison!$W24</f>
        <v>14991250</v>
      </c>
      <c r="Y24" s="175">
        <f>IF(Comparaison!$P24&lt;=50000,0,1)</f>
        <v>1</v>
      </c>
    </row>
    <row r="25" spans="1:25">
      <c r="A25" s="172">
        <v>16</v>
      </c>
      <c r="B25" s="162" t="s">
        <v>72</v>
      </c>
      <c r="C25" s="162" t="str" cm="1">
        <f t="array" ref="C25">_xlfn.IFS(A25&lt;=11,"Espagne",A25&lt;=17,"Maroc",A25&lt;=20,"Portugal")</f>
        <v>Maroc</v>
      </c>
      <c r="D25" s="163" cm="1">
        <f t="array" ref="D25">_xlfn.IFS(A25=1,85000,A25=5,105000,A25=12,115000,A25=2,66975,A25=20,64600,A25=16,63050,A25=9,55872,A25=17,59800,A25=7,49036,A25=14,44296,A25=18,47000,A25=19,47595,A25=4,37260,A25=6,40608,A25=13,44135,A25=15,41850,A25=3,30576,A25=8,32870,A25=10,26100,A25=11,28796)</f>
        <v>63050</v>
      </c>
      <c r="E25" s="169" cm="1">
        <f t="array" ref="E25">_xlfn.IFS(B25="A",22.5,B25="B",20,B25="C",17.5,B25="D",15,B25="E",12.5,B25="F",10,B25="G",7.5,B25="H",5,B25="I",2.5,B25="J",0)</f>
        <v>15</v>
      </c>
      <c r="F25" s="169" cm="1">
        <f t="array" ref="F25">_xlfn.IFS(C25="Espagne",175,C25="Maroc",135,C25="Portugal",140)</f>
        <v>135</v>
      </c>
      <c r="G25" s="165">
        <f t="shared" si="2"/>
        <v>150</v>
      </c>
      <c r="H25" s="165">
        <f t="shared" si="3"/>
        <v>9457500</v>
      </c>
      <c r="I25" s="166" cm="1">
        <f t="array" ref="I25">_xlfn.IFS(A25=1,1400000,A25=5,1725000,A25=12,2000000,A25=2,1225000,A25=20,1150000,A25=16,1150000,A25=9,1000000,A25=17,800000,A25=7,925000,A25=14,800000,A25=18,900000,A25=19,900000,A25=4,700000,A25=6,700000,A25=13,800000,A25=15,800000,A25=3,600000,A25=8,600000,A25=10,500000,A25=11,550000)</f>
        <v>1150000</v>
      </c>
      <c r="J25" s="165">
        <f t="shared" si="4"/>
        <v>8307500</v>
      </c>
      <c r="K25" s="176">
        <f>IF(Comparaison!$D25&lt;=50000,0,1)</f>
        <v>1</v>
      </c>
      <c r="M25" s="172">
        <v>16</v>
      </c>
      <c r="N25" s="162" t="s">
        <v>72</v>
      </c>
      <c r="O25" s="162" t="str" cm="1">
        <f t="array" ref="O25">_xlfn.IFS(M25&lt;=11,"Espagne",M25&lt;=17,"Maroc",M25&lt;=20,"Portugal")</f>
        <v>Maroc</v>
      </c>
      <c r="P25" s="163" cm="1">
        <f t="array" ref="P25">_xlfn.IFS(M25=1,85000,M25=5,105000,M25=12,115000,M25=2,66975,M25=20,64600,M25=16,63050,M25=9,55872,M25=17,59800,M25=7,49036,M25=14,44296,M25=18,47000,M25=19,47595,M25=4,37260,M25=6,40608,M25=13,44135,M25=15,41850,M25=3,30576,M25=8,32870,M25=10,26100,M25=11,28796)</f>
        <v>63050</v>
      </c>
      <c r="Q25" s="169" cm="1">
        <f t="array" ref="Q25">_xlfn.IFS(N25="A",22.5,N25="B",20,N25="C",17.5,N25="D",15,N25="E",12.5,N25="F",10,N25="G",7.5,N25="H",5,N25="I",2.5,N25="J",0)</f>
        <v>15</v>
      </c>
      <c r="R25" s="169" cm="1">
        <f t="array" ref="R25">_xlfn.IFS(O25="Espagne",175,O25="Maroc",135,O25="Portugal",140)</f>
        <v>135</v>
      </c>
      <c r="S25" s="165">
        <f t="shared" si="0"/>
        <v>150</v>
      </c>
      <c r="T25" s="165">
        <f t="shared" si="1"/>
        <v>9457500</v>
      </c>
      <c r="U25" s="165" cm="1">
        <f t="array" ref="U25">_xlfn.IFS(M25=1,1400000,M25=5,1725000,M25=12,2000000,M25=2,1225000,M25=20,1150000,M25=16,1150000,M25=9,1000000,M25=17,800000,M25=7,925000,M25=14,800000,M25=18,900000,M25=19,900000,M25=4,700000,M25=6,700000,M25=13,800000,M25=15,800000,M25=3,600000,M25=8,600000,M25=10,500000,M25=11,550000)</f>
        <v>1150000</v>
      </c>
      <c r="V25" s="179" cm="1">
        <f t="array" ref="V25">_xlfn.IFS(M25=1,1.25%,M25=5,1.25%,M25=12,1.5%,M25=2,2.25%,M25=20,1.75%,M25=16,1.5%,M25=9,2.25%,M25=17,1.25%,M25=7,1.75%,M25=14,2%,M25=18,1.75%,M25=19,1.75%,M25=4,2%,M25=6,2.25%,M25=13,1.5%,M25=15,2%,M25=3,2.25%,M25=8,1.5%,M25=10,1.75%,M25=11,2%)</f>
        <v>1.4999999999999999E-2</v>
      </c>
      <c r="W25" s="165">
        <f>Comparaison!$V25*Comparaison!$S25*Comparaison!$P25</f>
        <v>141862.5</v>
      </c>
      <c r="X25" s="165">
        <f>T25-Comparaison!$U25-Comparaison!$W25</f>
        <v>8165637.5</v>
      </c>
      <c r="Y25" s="176">
        <f>IF(Comparaison!$P25&lt;=50000,0,1)</f>
        <v>1</v>
      </c>
    </row>
    <row r="26" spans="1:25">
      <c r="A26" s="173">
        <v>16</v>
      </c>
      <c r="B26" s="167" t="s">
        <v>72</v>
      </c>
      <c r="C26" s="167" t="str" cm="1">
        <f t="array" ref="C26">_xlfn.IFS(A26&lt;=11,"Espagne",A26&lt;=17,"Maroc",A26&lt;=20,"Portugal")</f>
        <v>Maroc</v>
      </c>
      <c r="D26" s="168" cm="1">
        <f t="array" ref="D26">_xlfn.IFS(A26=1,85000,A26=5,105000,A26=12,115000,A26=2,66975,A26=20,64600,A26=16,63050,A26=9,55872,A26=17,59800,A26=7,49036,A26=14,44296,A26=18,47000,A26=19,47595,A26=4,37260,A26=6,40608,A26=13,44135,A26=15,41850,A26=3,30576,A26=8,32870,A26=10,26100,A26=11,28796)</f>
        <v>63050</v>
      </c>
      <c r="E26" s="169" cm="1">
        <f t="array" ref="E26">_xlfn.IFS(B26="A",22.5,B26="B",20,B26="C",17.5,B26="D",15,B26="E",12.5,B26="F",10,B26="G",7.5,B26="H",5,B26="I",2.5,B26="J",0)</f>
        <v>15</v>
      </c>
      <c r="F26" s="169" cm="1">
        <f t="array" ref="F26">_xlfn.IFS(C26="Espagne",175,C26="Maroc",135,C26="Portugal",140)</f>
        <v>135</v>
      </c>
      <c r="G26" s="170">
        <f t="shared" si="2"/>
        <v>150</v>
      </c>
      <c r="H26" s="170">
        <f t="shared" si="3"/>
        <v>9457500</v>
      </c>
      <c r="I26" s="171" cm="1">
        <f t="array" ref="I26">_xlfn.IFS(A26=1,1400000,A26=5,1725000,A26=12,2000000,A26=2,1225000,A26=20,1150000,A26=16,1150000,A26=9,1000000,A26=17,800000,A26=7,925000,A26=14,800000,A26=18,900000,A26=19,900000,A26=4,700000,A26=6,700000,A26=13,800000,A26=15,800000,A26=3,600000,A26=8,600000,A26=10,500000,A26=11,550000)</f>
        <v>1150000</v>
      </c>
      <c r="J26" s="170">
        <f t="shared" si="4"/>
        <v>8307500</v>
      </c>
      <c r="K26" s="175">
        <f>IF(Comparaison!$D26&lt;=50000,0,1)</f>
        <v>1</v>
      </c>
      <c r="M26" s="173">
        <v>16</v>
      </c>
      <c r="N26" s="167" t="s">
        <v>72</v>
      </c>
      <c r="O26" s="167" t="str" cm="1">
        <f t="array" ref="O26">_xlfn.IFS(M26&lt;=11,"Espagne",M26&lt;=17,"Maroc",M26&lt;=20,"Portugal")</f>
        <v>Maroc</v>
      </c>
      <c r="P26" s="168" cm="1">
        <f t="array" ref="P26">_xlfn.IFS(M26=1,85000,M26=5,105000,M26=12,115000,M26=2,66975,M26=20,64600,M26=16,63050,M26=9,55872,M26=17,59800,M26=7,49036,M26=14,44296,M26=18,47000,M26=19,47595,M26=4,37260,M26=6,40608,M26=13,44135,M26=15,41850,M26=3,30576,M26=8,32870,M26=10,26100,M26=11,28796)</f>
        <v>63050</v>
      </c>
      <c r="Q26" s="169" cm="1">
        <f t="array" ref="Q26">_xlfn.IFS(N26="A",22.5,N26="B",20,N26="C",17.5,N26="D",15,N26="E",12.5,N26="F",10,N26="G",7.5,N26="H",5,N26="I",2.5,N26="J",0)</f>
        <v>15</v>
      </c>
      <c r="R26" s="169" cm="1">
        <f t="array" ref="R26">_xlfn.IFS(O26="Espagne",175,O26="Maroc",135,O26="Portugal",140)</f>
        <v>135</v>
      </c>
      <c r="S26" s="170">
        <f t="shared" si="0"/>
        <v>150</v>
      </c>
      <c r="T26" s="170">
        <f t="shared" si="1"/>
        <v>9457500</v>
      </c>
      <c r="U26" s="170" cm="1">
        <f t="array" ref="U26">_xlfn.IFS(M26=1,1400000,M26=5,1725000,M26=12,2000000,M26=2,1225000,M26=20,1150000,M26=16,1150000,M26=9,1000000,M26=17,800000,M26=7,925000,M26=14,800000,M26=18,900000,M26=19,900000,M26=4,700000,M26=6,700000,M26=13,800000,M26=15,800000,M26=3,600000,M26=8,600000,M26=10,500000,M26=11,550000)</f>
        <v>1150000</v>
      </c>
      <c r="V26" s="180" cm="1">
        <f t="array" ref="V26">_xlfn.IFS(M26=1,1.25%,M26=5,1.25%,M26=12,1.5%,M26=2,2.25%,M26=20,1.75%,M26=16,1.5%,M26=9,2.25%,M26=17,1.25%,M26=7,1.75%,M26=14,2%,M26=18,1.75%,M26=19,1.75%,M26=4,2%,M26=6,2.25%,M26=13,1.5%,M26=15,2%,M26=3,2.25%,M26=8,1.5%,M26=10,1.75%,M26=11,2%)</f>
        <v>1.4999999999999999E-2</v>
      </c>
      <c r="W26" s="170">
        <f>Comparaison!$V26*Comparaison!$S26*Comparaison!$P26</f>
        <v>141862.5</v>
      </c>
      <c r="X26" s="170">
        <f>T26-Comparaison!$U26-Comparaison!$W26</f>
        <v>8165637.5</v>
      </c>
      <c r="Y26" s="175">
        <f>IF(Comparaison!$P26&lt;=50000,0,1)</f>
        <v>1</v>
      </c>
    </row>
    <row r="27" spans="1:25">
      <c r="A27" s="172">
        <v>20</v>
      </c>
      <c r="B27" s="162" t="s">
        <v>72</v>
      </c>
      <c r="C27" s="162" t="str" cm="1">
        <f t="array" ref="C27">_xlfn.IFS(A27&lt;=11,"Espagne",A27&lt;=17,"Maroc",A27&lt;=20,"Portugal")</f>
        <v>Portugal</v>
      </c>
      <c r="D27" s="163" cm="1">
        <f t="array" ref="D27">_xlfn.IFS(A27=1,85000,A27=5,105000,A27=12,115000,A27=2,66975,A27=20,64600,A27=16,63050,A27=9,55872,A27=17,59800,A27=7,49036,A27=14,44296,A27=18,47000,A27=19,47595,A27=4,37260,A27=6,40608,A27=13,44135,A27=15,41850,A27=3,30576,A27=8,32870,A27=10,26100,A27=11,28796)</f>
        <v>64600</v>
      </c>
      <c r="E27" s="169" cm="1">
        <f t="array" ref="E27">_xlfn.IFS(B27="A",22.5,B27="B",20,B27="C",17.5,B27="D",15,B27="E",12.5,B27="F",10,B27="G",7.5,B27="H",5,B27="I",2.5,B27="J",0)</f>
        <v>15</v>
      </c>
      <c r="F27" s="169" cm="1">
        <f t="array" ref="F27">_xlfn.IFS(C27="Espagne",175,C27="Maroc",135,C27="Portugal",140)</f>
        <v>140</v>
      </c>
      <c r="G27" s="165">
        <f t="shared" si="2"/>
        <v>155</v>
      </c>
      <c r="H27" s="165">
        <f t="shared" si="3"/>
        <v>10013000</v>
      </c>
      <c r="I27" s="166" cm="1">
        <f t="array" ref="I27">_xlfn.IFS(A27=1,1400000,A27=5,1725000,A27=12,2000000,A27=2,1225000,A27=20,1150000,A27=16,1150000,A27=9,1000000,A27=17,800000,A27=7,925000,A27=14,800000,A27=18,900000,A27=19,900000,A27=4,700000,A27=6,700000,A27=13,800000,A27=15,800000,A27=3,600000,A27=8,600000,A27=10,500000,A27=11,550000)</f>
        <v>1150000</v>
      </c>
      <c r="J27" s="165">
        <f t="shared" si="4"/>
        <v>8863000</v>
      </c>
      <c r="K27" s="176">
        <f>IF(Comparaison!$D27&lt;=50000,0,1)</f>
        <v>1</v>
      </c>
      <c r="M27" s="172">
        <v>17</v>
      </c>
      <c r="N27" s="162" t="s">
        <v>72</v>
      </c>
      <c r="O27" s="162" t="str" cm="1">
        <f t="array" ref="O27">_xlfn.IFS(M27&lt;=11,"Espagne",M27&lt;=17,"Maroc",M27&lt;=20,"Portugal")</f>
        <v>Maroc</v>
      </c>
      <c r="P27" s="163" cm="1">
        <f t="array" ref="P27">_xlfn.IFS(M27=1,85000,M27=5,105000,M27=12,115000,M27=2,66975,M27=20,64600,M27=16,63050,M27=9,55872,M27=17,59800,M27=7,49036,M27=14,44296,M27=18,47000,M27=19,47595,M27=4,37260,M27=6,40608,M27=13,44135,M27=15,41850,M27=3,30576,M27=8,32870,M27=10,26100,M27=11,28796)</f>
        <v>59800</v>
      </c>
      <c r="Q27" s="169" cm="1">
        <f t="array" ref="Q27">_xlfn.IFS(N27="A",22.5,N27="B",20,N27="C",17.5,N27="D",15,N27="E",12.5,N27="F",10,N27="G",7.5,N27="H",5,N27="I",2.5,N27="J",0)</f>
        <v>15</v>
      </c>
      <c r="R27" s="169" cm="1">
        <f t="array" ref="R27">_xlfn.IFS(O27="Espagne",175,O27="Maroc",135,O27="Portugal",140)</f>
        <v>135</v>
      </c>
      <c r="S27" s="165">
        <f t="shared" si="0"/>
        <v>150</v>
      </c>
      <c r="T27" s="165">
        <f t="shared" si="1"/>
        <v>8970000</v>
      </c>
      <c r="U27" s="165" cm="1">
        <f t="array" ref="U27">_xlfn.IFS(M27=1,1400000,M27=5,1725000,M27=12,2000000,M27=2,1225000,M27=20,1150000,M27=16,1150000,M27=9,1000000,M27=17,800000,M27=7,925000,M27=14,800000,M27=18,900000,M27=19,900000,M27=4,700000,M27=6,700000,M27=13,800000,M27=15,800000,M27=3,600000,M27=8,600000,M27=10,500000,M27=11,550000)</f>
        <v>800000</v>
      </c>
      <c r="V27" s="179" cm="1">
        <f t="array" ref="V27">_xlfn.IFS(M27=1,1.25%,M27=5,1.25%,M27=12,1.5%,M27=2,2.25%,M27=20,1.75%,M27=16,1.5%,M27=9,2.25%,M27=17,1.25%,M27=7,1.75%,M27=14,2%,M27=18,1.75%,M27=19,1.75%,M27=4,2%,M27=6,2.25%,M27=13,1.5%,M27=15,2%,M27=3,2.25%,M27=8,1.5%,M27=10,1.75%,M27=11,2%)</f>
        <v>1.2500000000000001E-2</v>
      </c>
      <c r="W27" s="165">
        <f>Comparaison!$V27*Comparaison!$S27*Comparaison!$P27</f>
        <v>112125</v>
      </c>
      <c r="X27" s="165">
        <f>T27-Comparaison!$U27-Comparaison!$W27</f>
        <v>8057875</v>
      </c>
      <c r="Y27" s="176">
        <f>IF(Comparaison!$P27&lt;=50000,0,1)</f>
        <v>1</v>
      </c>
    </row>
    <row r="28" spans="1:25">
      <c r="A28" s="173">
        <v>20</v>
      </c>
      <c r="B28" s="167" t="s">
        <v>72</v>
      </c>
      <c r="C28" s="167" t="str" cm="1">
        <f t="array" ref="C28">_xlfn.IFS(A28&lt;=11,"Espagne",A28&lt;=17,"Maroc",A28&lt;=20,"Portugal")</f>
        <v>Portugal</v>
      </c>
      <c r="D28" s="168" cm="1">
        <f t="array" ref="D28">_xlfn.IFS(A28=1,85000,A28=5,105000,A28=12,115000,A28=2,66975,A28=20,64600,A28=16,63050,A28=9,55872,A28=17,59800,A28=7,49036,A28=14,44296,A28=18,47000,A28=19,47595,A28=4,37260,A28=6,40608,A28=13,44135,A28=15,41850,A28=3,30576,A28=8,32870,A28=10,26100,A28=11,28796)</f>
        <v>64600</v>
      </c>
      <c r="E28" s="169" cm="1">
        <f t="array" ref="E28">_xlfn.IFS(B28="A",22.5,B28="B",20,B28="C",17.5,B28="D",15,B28="E",12.5,B28="F",10,B28="G",7.5,B28="H",5,B28="I",2.5,B28="J",0)</f>
        <v>15</v>
      </c>
      <c r="F28" s="169" cm="1">
        <f t="array" ref="F28">_xlfn.IFS(C28="Espagne",175,C28="Maroc",135,C28="Portugal",140)</f>
        <v>140</v>
      </c>
      <c r="G28" s="170">
        <f t="shared" si="2"/>
        <v>155</v>
      </c>
      <c r="H28" s="170">
        <f t="shared" si="3"/>
        <v>10013000</v>
      </c>
      <c r="I28" s="171" cm="1">
        <f t="array" ref="I28">_xlfn.IFS(A28=1,1400000,A28=5,1725000,A28=12,2000000,A28=2,1225000,A28=20,1150000,A28=16,1150000,A28=9,1000000,A28=17,800000,A28=7,925000,A28=14,800000,A28=18,900000,A28=19,900000,A28=4,700000,A28=6,700000,A28=13,800000,A28=15,800000,A28=3,600000,A28=8,600000,A28=10,500000,A28=11,550000)</f>
        <v>1150000</v>
      </c>
      <c r="J28" s="170">
        <f t="shared" si="4"/>
        <v>8863000</v>
      </c>
      <c r="K28" s="175">
        <f>IF(Comparaison!$D28&lt;=50000,0,1)</f>
        <v>1</v>
      </c>
      <c r="M28" s="173">
        <v>17</v>
      </c>
      <c r="N28" s="167" t="s">
        <v>72</v>
      </c>
      <c r="O28" s="167" t="str" cm="1">
        <f t="array" ref="O28">_xlfn.IFS(M28&lt;=11,"Espagne",M28&lt;=17,"Maroc",M28&lt;=20,"Portugal")</f>
        <v>Maroc</v>
      </c>
      <c r="P28" s="168" cm="1">
        <f t="array" ref="P28">_xlfn.IFS(M28=1,85000,M28=5,105000,M28=12,115000,M28=2,66975,M28=20,64600,M28=16,63050,M28=9,55872,M28=17,59800,M28=7,49036,M28=14,44296,M28=18,47000,M28=19,47595,M28=4,37260,M28=6,40608,M28=13,44135,M28=15,41850,M28=3,30576,M28=8,32870,M28=10,26100,M28=11,28796)</f>
        <v>59800</v>
      </c>
      <c r="Q28" s="169" cm="1">
        <f t="array" ref="Q28">_xlfn.IFS(N28="A",22.5,N28="B",20,N28="C",17.5,N28="D",15,N28="E",12.5,N28="F",10,N28="G",7.5,N28="H",5,N28="I",2.5,N28="J",0)</f>
        <v>15</v>
      </c>
      <c r="R28" s="169" cm="1">
        <f t="array" ref="R28">_xlfn.IFS(O28="Espagne",175,O28="Maroc",135,O28="Portugal",140)</f>
        <v>135</v>
      </c>
      <c r="S28" s="170">
        <f t="shared" si="0"/>
        <v>150</v>
      </c>
      <c r="T28" s="170">
        <f t="shared" si="1"/>
        <v>8970000</v>
      </c>
      <c r="U28" s="170" cm="1">
        <f t="array" ref="U28">_xlfn.IFS(M28=1,1400000,M28=5,1725000,M28=12,2000000,M28=2,1225000,M28=20,1150000,M28=16,1150000,M28=9,1000000,M28=17,800000,M28=7,925000,M28=14,800000,M28=18,900000,M28=19,900000,M28=4,700000,M28=6,700000,M28=13,800000,M28=15,800000,M28=3,600000,M28=8,600000,M28=10,500000,M28=11,550000)</f>
        <v>800000</v>
      </c>
      <c r="V28" s="180" cm="1">
        <f t="array" ref="V28">_xlfn.IFS(M28=1,1.25%,M28=5,1.25%,M28=12,1.5%,M28=2,2.25%,M28=20,1.75%,M28=16,1.5%,M28=9,2.25%,M28=17,1.25%,M28=7,1.75%,M28=14,2%,M28=18,1.75%,M28=19,1.75%,M28=4,2%,M28=6,2.25%,M28=13,1.5%,M28=15,2%,M28=3,2.25%,M28=8,1.5%,M28=10,1.75%,M28=11,2%)</f>
        <v>1.2500000000000001E-2</v>
      </c>
      <c r="W28" s="170">
        <f>Comparaison!$V28*Comparaison!$S28*Comparaison!$P28</f>
        <v>112125</v>
      </c>
      <c r="X28" s="170">
        <f>T28-Comparaison!$U28-Comparaison!$W28</f>
        <v>8057875</v>
      </c>
      <c r="Y28" s="175">
        <f>IF(Comparaison!$P28&lt;=50000,0,1)</f>
        <v>1</v>
      </c>
    </row>
    <row r="29" spans="1:25">
      <c r="A29" s="172">
        <v>2</v>
      </c>
      <c r="B29" s="162" t="s">
        <v>73</v>
      </c>
      <c r="C29" s="162" t="str" cm="1">
        <f t="array" ref="C29">_xlfn.IFS(A29&lt;=11,"Espagne",A29&lt;=17,"Maroc",A29&lt;=20,"Portugal")</f>
        <v>Espagne</v>
      </c>
      <c r="D29" s="163" cm="1">
        <f t="array" ref="D29">_xlfn.IFS(A29=1,85000,A29=5,105000,A29=12,115000,A29=2,66975,A29=20,64600,A29=16,63050,A29=9,55872,A29=17,59800,A29=7,49036,A29=14,44296,A29=18,47000,A29=19,47595,A29=4,37260,A29=6,40608,A29=13,44135,A29=15,41850,A29=3,30576,A29=8,32870,A29=10,26100,A29=11,28796)</f>
        <v>66975</v>
      </c>
      <c r="E29" s="169" cm="1">
        <f t="array" ref="E29">_xlfn.IFS(B29="A",22.5,B29="B",20,B29="C",17.5,B29="D",15,B29="E",12.5,B29="F",10,B29="G",7.5,B29="H",5,B29="I",2.5,B29="J",0)</f>
        <v>12.5</v>
      </c>
      <c r="F29" s="169" cm="1">
        <f t="array" ref="F29">_xlfn.IFS(C29="Espagne",175,C29="Maroc",135,C29="Portugal",140)</f>
        <v>175</v>
      </c>
      <c r="G29" s="165">
        <f t="shared" si="2"/>
        <v>187.5</v>
      </c>
      <c r="H29" s="165">
        <f t="shared" si="3"/>
        <v>12557812.5</v>
      </c>
      <c r="I29" s="166" cm="1">
        <f t="array" ref="I29">_xlfn.IFS(A29=1,1400000,A29=5,1725000,A29=12,2000000,A29=2,1225000,A29=20,1150000,A29=16,1150000,A29=9,1000000,A29=17,800000,A29=7,925000,A29=14,800000,A29=18,900000,A29=19,900000,A29=4,700000,A29=6,700000,A29=13,800000,A29=15,800000,A29=3,600000,A29=8,600000,A29=10,500000,A29=11,550000)</f>
        <v>1225000</v>
      </c>
      <c r="J29" s="165">
        <f t="shared" si="4"/>
        <v>11332812.5</v>
      </c>
      <c r="K29" s="176">
        <f>IF(Comparaison!$D29&lt;=50000,0,1)</f>
        <v>1</v>
      </c>
      <c r="M29" s="172">
        <v>1</v>
      </c>
      <c r="N29" s="162" t="s">
        <v>73</v>
      </c>
      <c r="O29" s="162" t="str" cm="1">
        <f t="array" ref="O29">_xlfn.IFS(M29&lt;=11,"Espagne",M29&lt;=17,"Maroc",M29&lt;=20,"Portugal")</f>
        <v>Espagne</v>
      </c>
      <c r="P29" s="163" cm="1">
        <f t="array" ref="P29">_xlfn.IFS(M29=1,85000,M29=5,105000,M29=12,115000,M29=2,66975,M29=20,64600,M29=16,63050,M29=9,55872,M29=17,59800,M29=7,49036,M29=14,44296,M29=18,47000,M29=19,47595,M29=4,37260,M29=6,40608,M29=13,44135,M29=15,41850,M29=3,30576,M29=8,32870,M29=10,26100,M29=11,28796)</f>
        <v>85000</v>
      </c>
      <c r="Q29" s="169" cm="1">
        <f t="array" ref="Q29">_xlfn.IFS(N29="A",22.5,N29="B",20,N29="C",17.5,N29="D",15,N29="E",12.5,N29="F",10,N29="G",7.5,N29="H",5,N29="I",2.5,N29="J",0)</f>
        <v>12.5</v>
      </c>
      <c r="R29" s="169" cm="1">
        <f t="array" ref="R29">_xlfn.IFS(O29="Espagne",175,O29="Maroc",135,O29="Portugal",140)</f>
        <v>175</v>
      </c>
      <c r="S29" s="165">
        <f t="shared" si="0"/>
        <v>187.5</v>
      </c>
      <c r="T29" s="165">
        <f t="shared" si="1"/>
        <v>15937500</v>
      </c>
      <c r="U29" s="165" cm="1">
        <f t="array" ref="U29">_xlfn.IFS(M29=1,1400000,M29=5,1725000,M29=12,2000000,M29=2,1225000,M29=20,1150000,M29=16,1150000,M29=9,1000000,M29=17,800000,M29=7,925000,M29=14,800000,M29=18,900000,M29=19,900000,M29=4,700000,M29=6,700000,M29=13,800000,M29=15,800000,M29=3,600000,M29=8,600000,M29=10,500000,M29=11,550000)</f>
        <v>1400000</v>
      </c>
      <c r="V29" s="179" cm="1">
        <f t="array" ref="V29">_xlfn.IFS(M29=1,1.25%,M29=5,1.25%,M29=12,1.5%,M29=2,2.25%,M29=20,1.75%,M29=16,1.5%,M29=9,2.25%,M29=17,1.25%,M29=7,1.75%,M29=14,2%,M29=18,1.75%,M29=19,1.75%,M29=4,2%,M29=6,2.25%,M29=13,1.5%,M29=15,2%,M29=3,2.25%,M29=8,1.5%,M29=10,1.75%,M29=11,2%)</f>
        <v>1.2500000000000001E-2</v>
      </c>
      <c r="W29" s="165">
        <f>Comparaison!$V29*Comparaison!$S29*Comparaison!$P29</f>
        <v>199218.75</v>
      </c>
      <c r="X29" s="165">
        <f>T29-Comparaison!$U29-Comparaison!$W29</f>
        <v>14338281.25</v>
      </c>
      <c r="Y29" s="176">
        <f>IF(Comparaison!$P29&lt;=50000,0,1)</f>
        <v>1</v>
      </c>
    </row>
    <row r="30" spans="1:25">
      <c r="A30" s="173">
        <v>9</v>
      </c>
      <c r="B30" s="167" t="s">
        <v>73</v>
      </c>
      <c r="C30" s="167" t="str" cm="1">
        <f t="array" ref="C30">_xlfn.IFS(A30&lt;=11,"Espagne",A30&lt;=17,"Maroc",A30&lt;=20,"Portugal")</f>
        <v>Espagne</v>
      </c>
      <c r="D30" s="168" cm="1">
        <f t="array" ref="D30">_xlfn.IFS(A30=1,85000,A30=5,105000,A30=12,115000,A30=2,66975,A30=20,64600,A30=16,63050,A30=9,55872,A30=17,59800,A30=7,49036,A30=14,44296,A30=18,47000,A30=19,47595,A30=4,37260,A30=6,40608,A30=13,44135,A30=15,41850,A30=3,30576,A30=8,32870,A30=10,26100,A30=11,28796)</f>
        <v>55872</v>
      </c>
      <c r="E30" s="169" cm="1">
        <f t="array" ref="E30">_xlfn.IFS(B30="A",22.5,B30="B",20,B30="C",17.5,B30="D",15,B30="E",12.5,B30="F",10,B30="G",7.5,B30="H",5,B30="I",2.5,B30="J",0)</f>
        <v>12.5</v>
      </c>
      <c r="F30" s="169" cm="1">
        <f t="array" ref="F30">_xlfn.IFS(C30="Espagne",175,C30="Maroc",135,C30="Portugal",140)</f>
        <v>175</v>
      </c>
      <c r="G30" s="170">
        <f t="shared" si="2"/>
        <v>187.5</v>
      </c>
      <c r="H30" s="170">
        <f t="shared" si="3"/>
        <v>10476000</v>
      </c>
      <c r="I30" s="171" cm="1">
        <f t="array" ref="I30">_xlfn.IFS(A30=1,1400000,A30=5,1725000,A30=12,2000000,A30=2,1225000,A30=20,1150000,A30=16,1150000,A30=9,1000000,A30=17,800000,A30=7,925000,A30=14,800000,A30=18,900000,A30=19,900000,A30=4,700000,A30=6,700000,A30=13,800000,A30=15,800000,A30=3,600000,A30=8,600000,A30=10,500000,A30=11,550000)</f>
        <v>1000000</v>
      </c>
      <c r="J30" s="170">
        <f t="shared" si="4"/>
        <v>9476000</v>
      </c>
      <c r="K30" s="175">
        <f>IF(Comparaison!$D30&lt;=50000,0,1)</f>
        <v>1</v>
      </c>
      <c r="M30" s="173">
        <v>2</v>
      </c>
      <c r="N30" s="167" t="s">
        <v>73</v>
      </c>
      <c r="O30" s="167" t="str" cm="1">
        <f t="array" ref="O30">_xlfn.IFS(M30&lt;=11,"Espagne",M30&lt;=17,"Maroc",M30&lt;=20,"Portugal")</f>
        <v>Espagne</v>
      </c>
      <c r="P30" s="168" cm="1">
        <f t="array" ref="P30">_xlfn.IFS(M30=1,85000,M30=5,105000,M30=12,115000,M30=2,66975,M30=20,64600,M30=16,63050,M30=9,55872,M30=17,59800,M30=7,49036,M30=14,44296,M30=18,47000,M30=19,47595,M30=4,37260,M30=6,40608,M30=13,44135,M30=15,41850,M30=3,30576,M30=8,32870,M30=10,26100,M30=11,28796)</f>
        <v>66975</v>
      </c>
      <c r="Q30" s="169" cm="1">
        <f t="array" ref="Q30">_xlfn.IFS(N30="A",22.5,N30="B",20,N30="C",17.5,N30="D",15,N30="E",12.5,N30="F",10,N30="G",7.5,N30="H",5,N30="I",2.5,N30="J",0)</f>
        <v>12.5</v>
      </c>
      <c r="R30" s="169" cm="1">
        <f t="array" ref="R30">_xlfn.IFS(O30="Espagne",175,O30="Maroc",135,O30="Portugal",140)</f>
        <v>175</v>
      </c>
      <c r="S30" s="170">
        <f t="shared" si="0"/>
        <v>187.5</v>
      </c>
      <c r="T30" s="170">
        <f t="shared" si="1"/>
        <v>12557812.5</v>
      </c>
      <c r="U30" s="170" cm="1">
        <f t="array" ref="U30">_xlfn.IFS(M30=1,1400000,M30=5,1725000,M30=12,2000000,M30=2,1225000,M30=20,1150000,M30=16,1150000,M30=9,1000000,M30=17,800000,M30=7,925000,M30=14,800000,M30=18,900000,M30=19,900000,M30=4,700000,M30=6,700000,M30=13,800000,M30=15,800000,M30=3,600000,M30=8,600000,M30=10,500000,M30=11,550000)</f>
        <v>1225000</v>
      </c>
      <c r="V30" s="180" cm="1">
        <f t="array" ref="V30">_xlfn.IFS(M30=1,1.25%,M30=5,1.25%,M30=12,1.5%,M30=2,2.25%,M30=20,1.75%,M30=16,1.5%,M30=9,2.25%,M30=17,1.25%,M30=7,1.75%,M30=14,2%,M30=18,1.75%,M30=19,1.75%,M30=4,2%,M30=6,2.25%,M30=13,1.5%,M30=15,2%,M30=3,2.25%,M30=8,1.5%,M30=10,1.75%,M30=11,2%)</f>
        <v>2.2499999999999999E-2</v>
      </c>
      <c r="W30" s="170">
        <f>Comparaison!$V30*Comparaison!$S30*Comparaison!$P30</f>
        <v>282550.78125</v>
      </c>
      <c r="X30" s="170">
        <f>T30-Comparaison!$U30-Comparaison!$W30</f>
        <v>11050261.71875</v>
      </c>
      <c r="Y30" s="175">
        <f>IF(Comparaison!$P30&lt;=50000,0,1)</f>
        <v>1</v>
      </c>
    </row>
    <row r="31" spans="1:25">
      <c r="A31" s="172">
        <v>16</v>
      </c>
      <c r="B31" s="162" t="s">
        <v>73</v>
      </c>
      <c r="C31" s="162" t="str" cm="1">
        <f t="array" ref="C31">_xlfn.IFS(A31&lt;=11,"Espagne",A31&lt;=17,"Maroc",A31&lt;=20,"Portugal")</f>
        <v>Maroc</v>
      </c>
      <c r="D31" s="163" cm="1">
        <f t="array" ref="D31">_xlfn.IFS(A31=1,85000,A31=5,105000,A31=12,115000,A31=2,66975,A31=20,64600,A31=16,63050,A31=9,55872,A31=17,59800,A31=7,49036,A31=14,44296,A31=18,47000,A31=19,47595,A31=4,37260,A31=6,40608,A31=13,44135,A31=15,41850,A31=3,30576,A31=8,32870,A31=10,26100,A31=11,28796)</f>
        <v>63050</v>
      </c>
      <c r="E31" s="169" cm="1">
        <f t="array" ref="E31">_xlfn.IFS(B31="A",22.5,B31="B",20,B31="C",17.5,B31="D",15,B31="E",12.5,B31="F",10,B31="G",7.5,B31="H",5,B31="I",2.5,B31="J",0)</f>
        <v>12.5</v>
      </c>
      <c r="F31" s="169" cm="1">
        <f t="array" ref="F31">_xlfn.IFS(C31="Espagne",175,C31="Maroc",135,C31="Portugal",140)</f>
        <v>135</v>
      </c>
      <c r="G31" s="165">
        <f t="shared" si="2"/>
        <v>147.5</v>
      </c>
      <c r="H31" s="165">
        <f t="shared" si="3"/>
        <v>9299875</v>
      </c>
      <c r="I31" s="166" cm="1">
        <f t="array" ref="I31">_xlfn.IFS(A31=1,1400000,A31=5,1725000,A31=12,2000000,A31=2,1225000,A31=20,1150000,A31=16,1150000,A31=9,1000000,A31=17,800000,A31=7,925000,A31=14,800000,A31=18,900000,A31=19,900000,A31=4,700000,A31=6,700000,A31=13,800000,A31=15,800000,A31=3,600000,A31=8,600000,A31=10,500000,A31=11,550000)</f>
        <v>1150000</v>
      </c>
      <c r="J31" s="165">
        <f t="shared" si="4"/>
        <v>8149875</v>
      </c>
      <c r="K31" s="176">
        <f>IF(Comparaison!$D31&lt;=50000,0,1)</f>
        <v>1</v>
      </c>
      <c r="M31" s="172">
        <v>5</v>
      </c>
      <c r="N31" s="162" t="s">
        <v>73</v>
      </c>
      <c r="O31" s="162" t="str" cm="1">
        <f t="array" ref="O31">_xlfn.IFS(M31&lt;=11,"Espagne",M31&lt;=17,"Maroc",M31&lt;=20,"Portugal")</f>
        <v>Espagne</v>
      </c>
      <c r="P31" s="163" cm="1">
        <f t="array" ref="P31">_xlfn.IFS(M31=1,85000,M31=5,105000,M31=12,115000,M31=2,66975,M31=20,64600,M31=16,63050,M31=9,55872,M31=17,59800,M31=7,49036,M31=14,44296,M31=18,47000,M31=19,47595,M31=4,37260,M31=6,40608,M31=13,44135,M31=15,41850,M31=3,30576,M31=8,32870,M31=10,26100,M31=11,28796)</f>
        <v>105000</v>
      </c>
      <c r="Q31" s="169" cm="1">
        <f t="array" ref="Q31">_xlfn.IFS(N31="A",22.5,N31="B",20,N31="C",17.5,N31="D",15,N31="E",12.5,N31="F",10,N31="G",7.5,N31="H",5,N31="I",2.5,N31="J",0)</f>
        <v>12.5</v>
      </c>
      <c r="R31" s="169" cm="1">
        <f t="array" ref="R31">_xlfn.IFS(O31="Espagne",175,O31="Maroc",135,O31="Portugal",140)</f>
        <v>175</v>
      </c>
      <c r="S31" s="165">
        <f t="shared" si="0"/>
        <v>187.5</v>
      </c>
      <c r="T31" s="165">
        <f t="shared" si="1"/>
        <v>19687500</v>
      </c>
      <c r="U31" s="165" cm="1">
        <f t="array" ref="U31">_xlfn.IFS(M31=1,1400000,M31=5,1725000,M31=12,2000000,M31=2,1225000,M31=20,1150000,M31=16,1150000,M31=9,1000000,M31=17,800000,M31=7,925000,M31=14,800000,M31=18,900000,M31=19,900000,M31=4,700000,M31=6,700000,M31=13,800000,M31=15,800000,M31=3,600000,M31=8,600000,M31=10,500000,M31=11,550000)</f>
        <v>1725000</v>
      </c>
      <c r="V31" s="179" cm="1">
        <f t="array" ref="V31">_xlfn.IFS(M31=1,1.25%,M31=5,1.25%,M31=12,1.5%,M31=2,2.25%,M31=20,1.75%,M31=16,1.5%,M31=9,2.25%,M31=17,1.25%,M31=7,1.75%,M31=14,2%,M31=18,1.75%,M31=19,1.75%,M31=4,2%,M31=6,2.25%,M31=13,1.5%,M31=15,2%,M31=3,2.25%,M31=8,1.5%,M31=10,1.75%,M31=11,2%)</f>
        <v>1.2500000000000001E-2</v>
      </c>
      <c r="W31" s="165">
        <f>Comparaison!$V31*Comparaison!$S31*Comparaison!$P31</f>
        <v>246093.75</v>
      </c>
      <c r="X31" s="165">
        <f>T31-Comparaison!$U31-Comparaison!$W31</f>
        <v>17716406.25</v>
      </c>
      <c r="Y31" s="176">
        <f>IF(Comparaison!$P31&lt;=50000,0,1)</f>
        <v>1</v>
      </c>
    </row>
    <row r="32" spans="1:25">
      <c r="A32" s="173">
        <v>17</v>
      </c>
      <c r="B32" s="167" t="s">
        <v>73</v>
      </c>
      <c r="C32" s="167" t="str" cm="1">
        <f t="array" ref="C32">_xlfn.IFS(A32&lt;=11,"Espagne",A32&lt;=17,"Maroc",A32&lt;=20,"Portugal")</f>
        <v>Maroc</v>
      </c>
      <c r="D32" s="168" cm="1">
        <f t="array" ref="D32">_xlfn.IFS(A32=1,85000,A32=5,105000,A32=12,115000,A32=2,66975,A32=20,64600,A32=16,63050,A32=9,55872,A32=17,59800,A32=7,49036,A32=14,44296,A32=18,47000,A32=19,47595,A32=4,37260,A32=6,40608,A32=13,44135,A32=15,41850,A32=3,30576,A32=8,32870,A32=10,26100,A32=11,28796)</f>
        <v>59800</v>
      </c>
      <c r="E32" s="169" cm="1">
        <f t="array" ref="E32">_xlfn.IFS(B32="A",22.5,B32="B",20,B32="C",17.5,B32="D",15,B32="E",12.5,B32="F",10,B32="G",7.5,B32="H",5,B32="I",2.5,B32="J",0)</f>
        <v>12.5</v>
      </c>
      <c r="F32" s="169" cm="1">
        <f t="array" ref="F32">_xlfn.IFS(C32="Espagne",175,C32="Maroc",135,C32="Portugal",140)</f>
        <v>135</v>
      </c>
      <c r="G32" s="170">
        <f t="shared" si="2"/>
        <v>147.5</v>
      </c>
      <c r="H32" s="170">
        <f t="shared" si="3"/>
        <v>8820500</v>
      </c>
      <c r="I32" s="171" cm="1">
        <f t="array" ref="I32">_xlfn.IFS(A32=1,1400000,A32=5,1725000,A32=12,2000000,A32=2,1225000,A32=20,1150000,A32=16,1150000,A32=9,1000000,A32=17,800000,A32=7,925000,A32=14,800000,A32=18,900000,A32=19,900000,A32=4,700000,A32=6,700000,A32=13,800000,A32=15,800000,A32=3,600000,A32=8,600000,A32=10,500000,A32=11,550000)</f>
        <v>800000</v>
      </c>
      <c r="J32" s="170">
        <f t="shared" si="4"/>
        <v>8020500</v>
      </c>
      <c r="K32" s="175">
        <f>IF(Comparaison!$D32&lt;=50000,0,1)</f>
        <v>1</v>
      </c>
      <c r="M32" s="173">
        <v>9</v>
      </c>
      <c r="N32" s="167" t="s">
        <v>73</v>
      </c>
      <c r="O32" s="167" t="str" cm="1">
        <f t="array" ref="O32">_xlfn.IFS(M32&lt;=11,"Espagne",M32&lt;=17,"Maroc",M32&lt;=20,"Portugal")</f>
        <v>Espagne</v>
      </c>
      <c r="P32" s="168" cm="1">
        <f t="array" ref="P32">_xlfn.IFS(M32=1,85000,M32=5,105000,M32=12,115000,M32=2,66975,M32=20,64600,M32=16,63050,M32=9,55872,M32=17,59800,M32=7,49036,M32=14,44296,M32=18,47000,M32=19,47595,M32=4,37260,M32=6,40608,M32=13,44135,M32=15,41850,M32=3,30576,M32=8,32870,M32=10,26100,M32=11,28796)</f>
        <v>55872</v>
      </c>
      <c r="Q32" s="169" cm="1">
        <f t="array" ref="Q32">_xlfn.IFS(N32="A",22.5,N32="B",20,N32="C",17.5,N32="D",15,N32="E",12.5,N32="F",10,N32="G",7.5,N32="H",5,N32="I",2.5,N32="J",0)</f>
        <v>12.5</v>
      </c>
      <c r="R32" s="169" cm="1">
        <f t="array" ref="R32">_xlfn.IFS(O32="Espagne",175,O32="Maroc",135,O32="Portugal",140)</f>
        <v>175</v>
      </c>
      <c r="S32" s="170">
        <f t="shared" si="0"/>
        <v>187.5</v>
      </c>
      <c r="T32" s="170">
        <f t="shared" si="1"/>
        <v>10476000</v>
      </c>
      <c r="U32" s="170" cm="1">
        <f t="array" ref="U32">_xlfn.IFS(M32=1,1400000,M32=5,1725000,M32=12,2000000,M32=2,1225000,M32=20,1150000,M32=16,1150000,M32=9,1000000,M32=17,800000,M32=7,925000,M32=14,800000,M32=18,900000,M32=19,900000,M32=4,700000,M32=6,700000,M32=13,800000,M32=15,800000,M32=3,600000,M32=8,600000,M32=10,500000,M32=11,550000)</f>
        <v>1000000</v>
      </c>
      <c r="V32" s="180" cm="1">
        <f t="array" ref="V32">_xlfn.IFS(M32=1,1.25%,M32=5,1.25%,M32=12,1.5%,M32=2,2.25%,M32=20,1.75%,M32=16,1.5%,M32=9,2.25%,M32=17,1.25%,M32=7,1.75%,M32=14,2%,M32=18,1.75%,M32=19,1.75%,M32=4,2%,M32=6,2.25%,M32=13,1.5%,M32=15,2%,M32=3,2.25%,M32=8,1.5%,M32=10,1.75%,M32=11,2%)</f>
        <v>2.2499999999999999E-2</v>
      </c>
      <c r="W32" s="170">
        <f>Comparaison!$V32*Comparaison!$S32*Comparaison!$P32</f>
        <v>235710</v>
      </c>
      <c r="X32" s="170">
        <f>T32-Comparaison!$U32-Comparaison!$W32</f>
        <v>9240290</v>
      </c>
      <c r="Y32" s="175">
        <f>IF(Comparaison!$P32&lt;=50000,0,1)</f>
        <v>1</v>
      </c>
    </row>
    <row r="33" spans="1:25">
      <c r="A33" s="172">
        <v>20</v>
      </c>
      <c r="B33" s="162" t="s">
        <v>73</v>
      </c>
      <c r="C33" s="162" t="str" cm="1">
        <f t="array" ref="C33">_xlfn.IFS(A33&lt;=11,"Espagne",A33&lt;=17,"Maroc",A33&lt;=20,"Portugal")</f>
        <v>Portugal</v>
      </c>
      <c r="D33" s="163" cm="1">
        <f t="array" ref="D33">_xlfn.IFS(A33=1,85000,A33=5,105000,A33=12,115000,A33=2,66975,A33=20,64600,A33=16,63050,A33=9,55872,A33=17,59800,A33=7,49036,A33=14,44296,A33=18,47000,A33=19,47595,A33=4,37260,A33=6,40608,A33=13,44135,A33=15,41850,A33=3,30576,A33=8,32870,A33=10,26100,A33=11,28796)</f>
        <v>64600</v>
      </c>
      <c r="E33" s="169" cm="1">
        <f t="array" ref="E33">_xlfn.IFS(B33="A",22.5,B33="B",20,B33="C",17.5,B33="D",15,B33="E",12.5,B33="F",10,B33="G",7.5,B33="H",5,B33="I",2.5,B33="J",0)</f>
        <v>12.5</v>
      </c>
      <c r="F33" s="169" cm="1">
        <f t="array" ref="F33">_xlfn.IFS(C33="Espagne",175,C33="Maroc",135,C33="Portugal",140)</f>
        <v>140</v>
      </c>
      <c r="G33" s="165">
        <f t="shared" si="2"/>
        <v>152.5</v>
      </c>
      <c r="H33" s="165">
        <f t="shared" si="3"/>
        <v>9851500</v>
      </c>
      <c r="I33" s="166" cm="1">
        <f t="array" ref="I33">_xlfn.IFS(A33=1,1400000,A33=5,1725000,A33=12,2000000,A33=2,1225000,A33=20,1150000,A33=16,1150000,A33=9,1000000,A33=17,800000,A33=7,925000,A33=14,800000,A33=18,900000,A33=19,900000,A33=4,700000,A33=6,700000,A33=13,800000,A33=15,800000,A33=3,600000,A33=8,600000,A33=10,500000,A33=11,550000)</f>
        <v>1150000</v>
      </c>
      <c r="J33" s="165">
        <f t="shared" si="4"/>
        <v>8701500</v>
      </c>
      <c r="K33" s="176">
        <f>IF(Comparaison!$D33&lt;=50000,0,1)</f>
        <v>1</v>
      </c>
      <c r="M33" s="172">
        <v>20</v>
      </c>
      <c r="N33" s="162" t="s">
        <v>73</v>
      </c>
      <c r="O33" s="162" t="str" cm="1">
        <f t="array" ref="O33">_xlfn.IFS(M33&lt;=11,"Espagne",M33&lt;=17,"Maroc",M33&lt;=20,"Portugal")</f>
        <v>Portugal</v>
      </c>
      <c r="P33" s="163" cm="1">
        <f t="array" ref="P33">_xlfn.IFS(M33=1,85000,M33=5,105000,M33=12,115000,M33=2,66975,M33=20,64600,M33=16,63050,M33=9,55872,M33=17,59800,M33=7,49036,M33=14,44296,M33=18,47000,M33=19,47595,M33=4,37260,M33=6,40608,M33=13,44135,M33=15,41850,M33=3,30576,M33=8,32870,M33=10,26100,M33=11,28796)</f>
        <v>64600</v>
      </c>
      <c r="Q33" s="169" cm="1">
        <f t="array" ref="Q33">_xlfn.IFS(N33="A",22.5,N33="B",20,N33="C",17.5,N33="D",15,N33="E",12.5,N33="F",10,N33="G",7.5,N33="H",5,N33="I",2.5,N33="J",0)</f>
        <v>12.5</v>
      </c>
      <c r="R33" s="169" cm="1">
        <f t="array" ref="R33">_xlfn.IFS(O33="Espagne",175,O33="Maroc",135,O33="Portugal",140)</f>
        <v>140</v>
      </c>
      <c r="S33" s="165">
        <f t="shared" si="0"/>
        <v>152.5</v>
      </c>
      <c r="T33" s="165">
        <f t="shared" si="1"/>
        <v>9851500</v>
      </c>
      <c r="U33" s="165" cm="1">
        <f t="array" ref="U33">_xlfn.IFS(M33=1,1400000,M33=5,1725000,M33=12,2000000,M33=2,1225000,M33=20,1150000,M33=16,1150000,M33=9,1000000,M33=17,800000,M33=7,925000,M33=14,800000,M33=18,900000,M33=19,900000,M33=4,700000,M33=6,700000,M33=13,800000,M33=15,800000,M33=3,600000,M33=8,600000,M33=10,500000,M33=11,550000)</f>
        <v>1150000</v>
      </c>
      <c r="V33" s="179" cm="1">
        <f t="array" ref="V33">_xlfn.IFS(M33=1,1.25%,M33=5,1.25%,M33=12,1.5%,M33=2,2.25%,M33=20,1.75%,M33=16,1.5%,M33=9,2.25%,M33=17,1.25%,M33=7,1.75%,M33=14,2%,M33=18,1.75%,M33=19,1.75%,M33=4,2%,M33=6,2.25%,M33=13,1.5%,M33=15,2%,M33=3,2.25%,M33=8,1.5%,M33=10,1.75%,M33=11,2%)</f>
        <v>1.7500000000000002E-2</v>
      </c>
      <c r="W33" s="165">
        <f>Comparaison!$V33*Comparaison!$S33*Comparaison!$P33</f>
        <v>172401.25</v>
      </c>
      <c r="X33" s="165">
        <f>T33-Comparaison!$U33-Comparaison!$W33</f>
        <v>8529098.75</v>
      </c>
      <c r="Y33" s="176">
        <f>IF(Comparaison!$P33&lt;=50000,0,1)</f>
        <v>1</v>
      </c>
    </row>
    <row r="34" spans="1:25">
      <c r="A34" s="173">
        <v>20</v>
      </c>
      <c r="B34" s="167" t="s">
        <v>73</v>
      </c>
      <c r="C34" s="167" t="str" cm="1">
        <f t="array" ref="C34">_xlfn.IFS(A34&lt;=11,"Espagne",A34&lt;=17,"Maroc",A34&lt;=20,"Portugal")</f>
        <v>Portugal</v>
      </c>
      <c r="D34" s="168" cm="1">
        <f t="array" ref="D34">_xlfn.IFS(A34=1,85000,A34=5,105000,A34=12,115000,A34=2,66975,A34=20,64600,A34=16,63050,A34=9,55872,A34=17,59800,A34=7,49036,A34=14,44296,A34=18,47000,A34=19,47595,A34=4,37260,A34=6,40608,A34=13,44135,A34=15,41850,A34=3,30576,A34=8,32870,A34=10,26100,A34=11,28796)</f>
        <v>64600</v>
      </c>
      <c r="E34" s="169" cm="1">
        <f t="array" ref="E34">_xlfn.IFS(B34="A",22.5,B34="B",20,B34="C",17.5,B34="D",15,B34="E",12.5,B34="F",10,B34="G",7.5,B34="H",5,B34="I",2.5,B34="J",0)</f>
        <v>12.5</v>
      </c>
      <c r="F34" s="169" cm="1">
        <f t="array" ref="F34">_xlfn.IFS(C34="Espagne",175,C34="Maroc",135,C34="Portugal",140)</f>
        <v>140</v>
      </c>
      <c r="G34" s="170">
        <f t="shared" si="2"/>
        <v>152.5</v>
      </c>
      <c r="H34" s="170">
        <f t="shared" si="3"/>
        <v>9851500</v>
      </c>
      <c r="I34" s="171" cm="1">
        <f t="array" ref="I34">_xlfn.IFS(A34=1,1400000,A34=5,1725000,A34=12,2000000,A34=2,1225000,A34=20,1150000,A34=16,1150000,A34=9,1000000,A34=17,800000,A34=7,925000,A34=14,800000,A34=18,900000,A34=19,900000,A34=4,700000,A34=6,700000,A34=13,800000,A34=15,800000,A34=3,600000,A34=8,600000,A34=10,500000,A34=11,550000)</f>
        <v>1150000</v>
      </c>
      <c r="J34" s="170">
        <f t="shared" si="4"/>
        <v>8701500</v>
      </c>
      <c r="K34" s="175">
        <f>IF(Comparaison!$D34&lt;=50000,0,1)</f>
        <v>1</v>
      </c>
      <c r="M34" s="173">
        <v>20</v>
      </c>
      <c r="N34" s="167" t="s">
        <v>73</v>
      </c>
      <c r="O34" s="167" t="str" cm="1">
        <f t="array" ref="O34">_xlfn.IFS(M34&lt;=11,"Espagne",M34&lt;=17,"Maroc",M34&lt;=20,"Portugal")</f>
        <v>Portugal</v>
      </c>
      <c r="P34" s="168" cm="1">
        <f t="array" ref="P34">_xlfn.IFS(M34=1,85000,M34=5,105000,M34=12,115000,M34=2,66975,M34=20,64600,M34=16,63050,M34=9,55872,M34=17,59800,M34=7,49036,M34=14,44296,M34=18,47000,M34=19,47595,M34=4,37260,M34=6,40608,M34=13,44135,M34=15,41850,M34=3,30576,M34=8,32870,M34=10,26100,M34=11,28796)</f>
        <v>64600</v>
      </c>
      <c r="Q34" s="169" cm="1">
        <f t="array" ref="Q34">_xlfn.IFS(N34="A",22.5,N34="B",20,N34="C",17.5,N34="D",15,N34="E",12.5,N34="F",10,N34="G",7.5,N34="H",5,N34="I",2.5,N34="J",0)</f>
        <v>12.5</v>
      </c>
      <c r="R34" s="169" cm="1">
        <f t="array" ref="R34">_xlfn.IFS(O34="Espagne",175,O34="Maroc",135,O34="Portugal",140)</f>
        <v>140</v>
      </c>
      <c r="S34" s="170">
        <f t="shared" si="0"/>
        <v>152.5</v>
      </c>
      <c r="T34" s="170">
        <f t="shared" si="1"/>
        <v>9851500</v>
      </c>
      <c r="U34" s="170" cm="1">
        <f t="array" ref="U34">_xlfn.IFS(M34=1,1400000,M34=5,1725000,M34=12,2000000,M34=2,1225000,M34=20,1150000,M34=16,1150000,M34=9,1000000,M34=17,800000,M34=7,925000,M34=14,800000,M34=18,900000,M34=19,900000,M34=4,700000,M34=6,700000,M34=13,800000,M34=15,800000,M34=3,600000,M34=8,600000,M34=10,500000,M34=11,550000)</f>
        <v>1150000</v>
      </c>
      <c r="V34" s="180" cm="1">
        <f t="array" ref="V34">_xlfn.IFS(M34=1,1.25%,M34=5,1.25%,M34=12,1.5%,M34=2,2.25%,M34=20,1.75%,M34=16,1.5%,M34=9,2.25%,M34=17,1.25%,M34=7,1.75%,M34=14,2%,M34=18,1.75%,M34=19,1.75%,M34=4,2%,M34=6,2.25%,M34=13,1.5%,M34=15,2%,M34=3,2.25%,M34=8,1.5%,M34=10,1.75%,M34=11,2%)</f>
        <v>1.7500000000000002E-2</v>
      </c>
      <c r="W34" s="170">
        <f>Comparaison!$V34*Comparaison!$S34*Comparaison!$P34</f>
        <v>172401.25</v>
      </c>
      <c r="X34" s="170">
        <f>T34-Comparaison!$U34-Comparaison!$W34</f>
        <v>8529098.75</v>
      </c>
      <c r="Y34" s="175">
        <f>IF(Comparaison!$P34&lt;=50000,0,1)</f>
        <v>1</v>
      </c>
    </row>
    <row r="35" spans="1:25">
      <c r="A35" s="172">
        <v>9</v>
      </c>
      <c r="B35" s="162" t="s">
        <v>74</v>
      </c>
      <c r="C35" s="162" t="str" cm="1">
        <f t="array" ref="C35">_xlfn.IFS(A35&lt;=11,"Espagne",A35&lt;=17,"Maroc",A35&lt;=20,"Portugal")</f>
        <v>Espagne</v>
      </c>
      <c r="D35" s="163" cm="1">
        <f t="array" ref="D35">_xlfn.IFS(A35=1,85000,A35=5,105000,A35=12,115000,A35=2,66975,A35=20,64600,A35=16,63050,A35=9,55872,A35=17,59800,A35=7,49036,A35=14,44296,A35=18,47000,A35=19,47595,A35=4,37260,A35=6,40608,A35=13,44135,A35=15,41850,A35=3,30576,A35=8,32870,A35=10,26100,A35=11,28796)</f>
        <v>55872</v>
      </c>
      <c r="E35" s="169" cm="1">
        <f t="array" ref="E35">_xlfn.IFS(B35="A",22.5,B35="B",20,B35="C",17.5,B35="D",15,B35="E",12.5,B35="F",10,B35="G",7.5,B35="H",5,B35="I",2.5,B35="J",0)</f>
        <v>10</v>
      </c>
      <c r="F35" s="169" cm="1">
        <f t="array" ref="F35">_xlfn.IFS(C35="Espagne",175,C35="Maroc",135,C35="Portugal",140)</f>
        <v>175</v>
      </c>
      <c r="G35" s="165">
        <f t="shared" si="2"/>
        <v>185</v>
      </c>
      <c r="H35" s="165">
        <f t="shared" si="3"/>
        <v>10336320</v>
      </c>
      <c r="I35" s="166" cm="1">
        <f t="array" ref="I35">_xlfn.IFS(A35=1,1400000,A35=5,1725000,A35=12,2000000,A35=2,1225000,A35=20,1150000,A35=16,1150000,A35=9,1000000,A35=17,800000,A35=7,925000,A35=14,800000,A35=18,900000,A35=19,900000,A35=4,700000,A35=6,700000,A35=13,800000,A35=15,800000,A35=3,600000,A35=8,600000,A35=10,500000,A35=11,550000)</f>
        <v>1000000</v>
      </c>
      <c r="J35" s="165">
        <f t="shared" si="4"/>
        <v>9336320</v>
      </c>
      <c r="K35" s="176">
        <f>IF(Comparaison!$D35&lt;=50000,0,1)</f>
        <v>1</v>
      </c>
      <c r="M35" s="172">
        <v>2</v>
      </c>
      <c r="N35" s="162" t="s">
        <v>74</v>
      </c>
      <c r="O35" s="162" t="str" cm="1">
        <f t="array" ref="O35">_xlfn.IFS(M35&lt;=11,"Espagne",M35&lt;=17,"Maroc",M35&lt;=20,"Portugal")</f>
        <v>Espagne</v>
      </c>
      <c r="P35" s="163" cm="1">
        <f t="array" ref="P35">_xlfn.IFS(M35=1,85000,M35=5,105000,M35=12,115000,M35=2,66975,M35=20,64600,M35=16,63050,M35=9,55872,M35=17,59800,M35=7,49036,M35=14,44296,M35=18,47000,M35=19,47595,M35=4,37260,M35=6,40608,M35=13,44135,M35=15,41850,M35=3,30576,M35=8,32870,M35=10,26100,M35=11,28796)</f>
        <v>66975</v>
      </c>
      <c r="Q35" s="169" cm="1">
        <f t="array" ref="Q35">_xlfn.IFS(N35="A",22.5,N35="B",20,N35="C",17.5,N35="D",15,N35="E",12.5,N35="F",10,N35="G",7.5,N35="H",5,N35="I",2.5,N35="J",0)</f>
        <v>10</v>
      </c>
      <c r="R35" s="169" cm="1">
        <f t="array" ref="R35">_xlfn.IFS(O35="Espagne",175,O35="Maroc",135,O35="Portugal",140)</f>
        <v>175</v>
      </c>
      <c r="S35" s="165">
        <f t="shared" si="0"/>
        <v>185</v>
      </c>
      <c r="T35" s="165">
        <f t="shared" si="1"/>
        <v>12390375</v>
      </c>
      <c r="U35" s="165" cm="1">
        <f t="array" ref="U35">_xlfn.IFS(M35=1,1400000,M35=5,1725000,M35=12,2000000,M35=2,1225000,M35=20,1150000,M35=16,1150000,M35=9,1000000,M35=17,800000,M35=7,925000,M35=14,800000,M35=18,900000,M35=19,900000,M35=4,700000,M35=6,700000,M35=13,800000,M35=15,800000,M35=3,600000,M35=8,600000,M35=10,500000,M35=11,550000)</f>
        <v>1225000</v>
      </c>
      <c r="V35" s="179" cm="1">
        <f t="array" ref="V35">_xlfn.IFS(M35=1,1.25%,M35=5,1.25%,M35=12,1.5%,M35=2,2.25%,M35=20,1.75%,M35=16,1.5%,M35=9,2.25%,M35=17,1.25%,M35=7,1.75%,M35=14,2%,M35=18,1.75%,M35=19,1.75%,M35=4,2%,M35=6,2.25%,M35=13,1.5%,M35=15,2%,M35=3,2.25%,M35=8,1.5%,M35=10,1.75%,M35=11,2%)</f>
        <v>2.2499999999999999E-2</v>
      </c>
      <c r="W35" s="165">
        <f>Comparaison!$V35*Comparaison!$S35*Comparaison!$P35</f>
        <v>278783.4375</v>
      </c>
      <c r="X35" s="165">
        <f>T35-Comparaison!$U35-Comparaison!$W35</f>
        <v>10886591.5625</v>
      </c>
      <c r="Y35" s="176">
        <f>IF(Comparaison!$P35&lt;=50000,0,1)</f>
        <v>1</v>
      </c>
    </row>
    <row r="36" spans="1:25">
      <c r="A36" s="173">
        <v>9</v>
      </c>
      <c r="B36" s="167" t="s">
        <v>74</v>
      </c>
      <c r="C36" s="167" t="str" cm="1">
        <f t="array" ref="C36">_xlfn.IFS(A36&lt;=11,"Espagne",A36&lt;=17,"Maroc",A36&lt;=20,"Portugal")</f>
        <v>Espagne</v>
      </c>
      <c r="D36" s="168" cm="1">
        <f t="array" ref="D36">_xlfn.IFS(A36=1,85000,A36=5,105000,A36=12,115000,A36=2,66975,A36=20,64600,A36=16,63050,A36=9,55872,A36=17,59800,A36=7,49036,A36=14,44296,A36=18,47000,A36=19,47595,A36=4,37260,A36=6,40608,A36=13,44135,A36=15,41850,A36=3,30576,A36=8,32870,A36=10,26100,A36=11,28796)</f>
        <v>55872</v>
      </c>
      <c r="E36" s="169" cm="1">
        <f t="array" ref="E36">_xlfn.IFS(B36="A",22.5,B36="B",20,B36="C",17.5,B36="D",15,B36="E",12.5,B36="F",10,B36="G",7.5,B36="H",5,B36="I",2.5,B36="J",0)</f>
        <v>10</v>
      </c>
      <c r="F36" s="169" cm="1">
        <f t="array" ref="F36">_xlfn.IFS(C36="Espagne",175,C36="Maroc",135,C36="Portugal",140)</f>
        <v>175</v>
      </c>
      <c r="G36" s="170">
        <f t="shared" si="2"/>
        <v>185</v>
      </c>
      <c r="H36" s="170">
        <f t="shared" si="3"/>
        <v>10336320</v>
      </c>
      <c r="I36" s="171" cm="1">
        <f t="array" ref="I36">_xlfn.IFS(A36=1,1400000,A36=5,1725000,A36=12,2000000,A36=2,1225000,A36=20,1150000,A36=16,1150000,A36=9,1000000,A36=17,800000,A36=7,925000,A36=14,800000,A36=18,900000,A36=19,900000,A36=4,700000,A36=6,700000,A36=13,800000,A36=15,800000,A36=3,600000,A36=8,600000,A36=10,500000,A36=11,550000)</f>
        <v>1000000</v>
      </c>
      <c r="J36" s="170">
        <f t="shared" si="4"/>
        <v>9336320</v>
      </c>
      <c r="K36" s="175">
        <f>IF(Comparaison!$D36&lt;=50000,0,1)</f>
        <v>1</v>
      </c>
      <c r="M36" s="173">
        <v>7</v>
      </c>
      <c r="N36" s="167" t="s">
        <v>74</v>
      </c>
      <c r="O36" s="167" t="str" cm="1">
        <f t="array" ref="O36">_xlfn.IFS(M36&lt;=11,"Espagne",M36&lt;=17,"Maroc",M36&lt;=20,"Portugal")</f>
        <v>Espagne</v>
      </c>
      <c r="P36" s="168" cm="1">
        <f t="array" ref="P36">_xlfn.IFS(M36=1,85000,M36=5,105000,M36=12,115000,M36=2,66975,M36=20,64600,M36=16,63050,M36=9,55872,M36=17,59800,M36=7,49036,M36=14,44296,M36=18,47000,M36=19,47595,M36=4,37260,M36=6,40608,M36=13,44135,M36=15,41850,M36=3,30576,M36=8,32870,M36=10,26100,M36=11,28796)</f>
        <v>49036</v>
      </c>
      <c r="Q36" s="169" cm="1">
        <f t="array" ref="Q36">_xlfn.IFS(N36="A",22.5,N36="B",20,N36="C",17.5,N36="D",15,N36="E",12.5,N36="F",10,N36="G",7.5,N36="H",5,N36="I",2.5,N36="J",0)</f>
        <v>10</v>
      </c>
      <c r="R36" s="169" cm="1">
        <f t="array" ref="R36">_xlfn.IFS(O36="Espagne",175,O36="Maroc",135,O36="Portugal",140)</f>
        <v>175</v>
      </c>
      <c r="S36" s="170">
        <f t="shared" si="0"/>
        <v>185</v>
      </c>
      <c r="T36" s="170">
        <f t="shared" si="1"/>
        <v>9071660</v>
      </c>
      <c r="U36" s="170" cm="1">
        <f t="array" ref="U36">_xlfn.IFS(M36=1,1400000,M36=5,1725000,M36=12,2000000,M36=2,1225000,M36=20,1150000,M36=16,1150000,M36=9,1000000,M36=17,800000,M36=7,925000,M36=14,800000,M36=18,900000,M36=19,900000,M36=4,700000,M36=6,700000,M36=13,800000,M36=15,800000,M36=3,600000,M36=8,600000,M36=10,500000,M36=11,550000)</f>
        <v>925000</v>
      </c>
      <c r="V36" s="180" cm="1">
        <f t="array" ref="V36">_xlfn.IFS(M36=1,1.25%,M36=5,1.25%,M36=12,1.5%,M36=2,2.25%,M36=20,1.75%,M36=16,1.5%,M36=9,2.25%,M36=17,1.25%,M36=7,1.75%,M36=14,2%,M36=18,1.75%,M36=19,1.75%,M36=4,2%,M36=6,2.25%,M36=13,1.5%,M36=15,2%,M36=3,2.25%,M36=8,1.5%,M36=10,1.75%,M36=11,2%)</f>
        <v>1.7500000000000002E-2</v>
      </c>
      <c r="W36" s="170">
        <f>Comparaison!$V36*Comparaison!$S36*Comparaison!$P36</f>
        <v>158754.05000000002</v>
      </c>
      <c r="X36" s="170">
        <f>T36-Comparaison!$U36-Comparaison!$W36</f>
        <v>7987905.9500000002</v>
      </c>
      <c r="Y36" s="175">
        <f>IF(Comparaison!$P36&lt;=50000,0,1)</f>
        <v>0</v>
      </c>
    </row>
    <row r="37" spans="1:25">
      <c r="A37" s="172">
        <v>16</v>
      </c>
      <c r="B37" s="162" t="s">
        <v>74</v>
      </c>
      <c r="C37" s="162" t="str" cm="1">
        <f t="array" ref="C37">_xlfn.IFS(A37&lt;=11,"Espagne",A37&lt;=17,"Maroc",A37&lt;=20,"Portugal")</f>
        <v>Maroc</v>
      </c>
      <c r="D37" s="163" cm="1">
        <f t="array" ref="D37">_xlfn.IFS(A37=1,85000,A37=5,105000,A37=12,115000,A37=2,66975,A37=20,64600,A37=16,63050,A37=9,55872,A37=17,59800,A37=7,49036,A37=14,44296,A37=18,47000,A37=19,47595,A37=4,37260,A37=6,40608,A37=13,44135,A37=15,41850,A37=3,30576,A37=8,32870,A37=10,26100,A37=11,28796)</f>
        <v>63050</v>
      </c>
      <c r="E37" s="169" cm="1">
        <f t="array" ref="E37">_xlfn.IFS(B37="A",22.5,B37="B",20,B37="C",17.5,B37="D",15,B37="E",12.5,B37="F",10,B37="G",7.5,B37="H",5,B37="I",2.5,B37="J",0)</f>
        <v>10</v>
      </c>
      <c r="F37" s="169" cm="1">
        <f t="array" ref="F37">_xlfn.IFS(C37="Espagne",175,C37="Maroc",135,C37="Portugal",140)</f>
        <v>135</v>
      </c>
      <c r="G37" s="165">
        <f t="shared" si="2"/>
        <v>145</v>
      </c>
      <c r="H37" s="165">
        <f t="shared" si="3"/>
        <v>9142250</v>
      </c>
      <c r="I37" s="166" cm="1">
        <f t="array" ref="I37">_xlfn.IFS(A37=1,1400000,A37=5,1725000,A37=12,2000000,A37=2,1225000,A37=20,1150000,A37=16,1150000,A37=9,1000000,A37=17,800000,A37=7,925000,A37=14,800000,A37=18,900000,A37=19,900000,A37=4,700000,A37=6,700000,A37=13,800000,A37=15,800000,A37=3,600000,A37=8,600000,A37=10,500000,A37=11,550000)</f>
        <v>1150000</v>
      </c>
      <c r="J37" s="165">
        <f t="shared" si="4"/>
        <v>7992250</v>
      </c>
      <c r="K37" s="176">
        <f>IF(Comparaison!$D37&lt;=50000,0,1)</f>
        <v>1</v>
      </c>
      <c r="M37" s="172">
        <v>9</v>
      </c>
      <c r="N37" s="162" t="s">
        <v>74</v>
      </c>
      <c r="O37" s="162" t="str" cm="1">
        <f t="array" ref="O37">_xlfn.IFS(M37&lt;=11,"Espagne",M37&lt;=17,"Maroc",M37&lt;=20,"Portugal")</f>
        <v>Espagne</v>
      </c>
      <c r="P37" s="163" cm="1">
        <f t="array" ref="P37">_xlfn.IFS(M37=1,85000,M37=5,105000,M37=12,115000,M37=2,66975,M37=20,64600,M37=16,63050,M37=9,55872,M37=17,59800,M37=7,49036,M37=14,44296,M37=18,47000,M37=19,47595,M37=4,37260,M37=6,40608,M37=13,44135,M37=15,41850,M37=3,30576,M37=8,32870,M37=10,26100,M37=11,28796)</f>
        <v>55872</v>
      </c>
      <c r="Q37" s="169" cm="1">
        <f t="array" ref="Q37">_xlfn.IFS(N37="A",22.5,N37="B",20,N37="C",17.5,N37="D",15,N37="E",12.5,N37="F",10,N37="G",7.5,N37="H",5,N37="I",2.5,N37="J",0)</f>
        <v>10</v>
      </c>
      <c r="R37" s="169" cm="1">
        <f t="array" ref="R37">_xlfn.IFS(O37="Espagne",175,O37="Maroc",135,O37="Portugal",140)</f>
        <v>175</v>
      </c>
      <c r="S37" s="165">
        <f t="shared" ref="S37:S64" si="5">Q37+R37</f>
        <v>185</v>
      </c>
      <c r="T37" s="165">
        <f t="shared" ref="T37:T64" si="6">S37*P37</f>
        <v>10336320</v>
      </c>
      <c r="U37" s="165" cm="1">
        <f t="array" ref="U37">_xlfn.IFS(M37=1,1400000,M37=5,1725000,M37=12,2000000,M37=2,1225000,M37=20,1150000,M37=16,1150000,M37=9,1000000,M37=17,800000,M37=7,925000,M37=14,800000,M37=18,900000,M37=19,900000,M37=4,700000,M37=6,700000,M37=13,800000,M37=15,800000,M37=3,600000,M37=8,600000,M37=10,500000,M37=11,550000)</f>
        <v>1000000</v>
      </c>
      <c r="V37" s="179" cm="1">
        <f t="array" ref="V37">_xlfn.IFS(M37=1,1.25%,M37=5,1.25%,M37=12,1.5%,M37=2,2.25%,M37=20,1.75%,M37=16,1.5%,M37=9,2.25%,M37=17,1.25%,M37=7,1.75%,M37=14,2%,M37=18,1.75%,M37=19,1.75%,M37=4,2%,M37=6,2.25%,M37=13,1.5%,M37=15,2%,M37=3,2.25%,M37=8,1.5%,M37=10,1.75%,M37=11,2%)</f>
        <v>2.2499999999999999E-2</v>
      </c>
      <c r="W37" s="165">
        <f>Comparaison!$V37*Comparaison!$S37*Comparaison!$P37</f>
        <v>232567.19999999998</v>
      </c>
      <c r="X37" s="165">
        <f>T37-Comparaison!$U37-Comparaison!$W37</f>
        <v>9103752.8000000007</v>
      </c>
      <c r="Y37" s="176">
        <f>IF(Comparaison!$P37&lt;=50000,0,1)</f>
        <v>1</v>
      </c>
    </row>
    <row r="38" spans="1:25">
      <c r="A38" s="173">
        <v>16</v>
      </c>
      <c r="B38" s="167" t="s">
        <v>74</v>
      </c>
      <c r="C38" s="167" t="str" cm="1">
        <f t="array" ref="C38">_xlfn.IFS(A38&lt;=11,"Espagne",A38&lt;=17,"Maroc",A38&lt;=20,"Portugal")</f>
        <v>Maroc</v>
      </c>
      <c r="D38" s="168" cm="1">
        <f t="array" ref="D38">_xlfn.IFS(A38=1,85000,A38=5,105000,A38=12,115000,A38=2,66975,A38=20,64600,A38=16,63050,A38=9,55872,A38=17,59800,A38=7,49036,A38=14,44296,A38=18,47000,A38=19,47595,A38=4,37260,A38=6,40608,A38=13,44135,A38=15,41850,A38=3,30576,A38=8,32870,A38=10,26100,A38=11,28796)</f>
        <v>63050</v>
      </c>
      <c r="E38" s="169" cm="1">
        <f t="array" ref="E38">_xlfn.IFS(B38="A",22.5,B38="B",20,B38="C",17.5,B38="D",15,B38="E",12.5,B38="F",10,B38="G",7.5,B38="H",5,B38="I",2.5,B38="J",0)</f>
        <v>10</v>
      </c>
      <c r="F38" s="169" cm="1">
        <f t="array" ref="F38">_xlfn.IFS(C38="Espagne",175,C38="Maroc",135,C38="Portugal",140)</f>
        <v>135</v>
      </c>
      <c r="G38" s="170">
        <f t="shared" si="2"/>
        <v>145</v>
      </c>
      <c r="H38" s="170">
        <f t="shared" si="3"/>
        <v>9142250</v>
      </c>
      <c r="I38" s="171" cm="1">
        <f t="array" ref="I38">_xlfn.IFS(A38=1,1400000,A38=5,1725000,A38=12,2000000,A38=2,1225000,A38=20,1150000,A38=16,1150000,A38=9,1000000,A38=17,800000,A38=7,925000,A38=14,800000,A38=18,900000,A38=19,900000,A38=4,700000,A38=6,700000,A38=13,800000,A38=15,800000,A38=3,600000,A38=8,600000,A38=10,500000,A38=11,550000)</f>
        <v>1150000</v>
      </c>
      <c r="J38" s="170">
        <f t="shared" si="4"/>
        <v>7992250</v>
      </c>
      <c r="K38" s="175">
        <f>IF(Comparaison!$D38&lt;=50000,0,1)</f>
        <v>1</v>
      </c>
      <c r="M38" s="173">
        <v>9</v>
      </c>
      <c r="N38" s="167" t="s">
        <v>74</v>
      </c>
      <c r="O38" s="167" t="str" cm="1">
        <f t="array" ref="O38">_xlfn.IFS(M38&lt;=11,"Espagne",M38&lt;=17,"Maroc",M38&lt;=20,"Portugal")</f>
        <v>Espagne</v>
      </c>
      <c r="P38" s="168" cm="1">
        <f t="array" ref="P38">_xlfn.IFS(M38=1,85000,M38=5,105000,M38=12,115000,M38=2,66975,M38=20,64600,M38=16,63050,M38=9,55872,M38=17,59800,M38=7,49036,M38=14,44296,M38=18,47000,M38=19,47595,M38=4,37260,M38=6,40608,M38=13,44135,M38=15,41850,M38=3,30576,M38=8,32870,M38=10,26100,M38=11,28796)</f>
        <v>55872</v>
      </c>
      <c r="Q38" s="169" cm="1">
        <f t="array" ref="Q38">_xlfn.IFS(N38="A",22.5,N38="B",20,N38="C",17.5,N38="D",15,N38="E",12.5,N38="F",10,N38="G",7.5,N38="H",5,N38="I",2.5,N38="J",0)</f>
        <v>10</v>
      </c>
      <c r="R38" s="169" cm="1">
        <f t="array" ref="R38">_xlfn.IFS(O38="Espagne",175,O38="Maroc",135,O38="Portugal",140)</f>
        <v>175</v>
      </c>
      <c r="S38" s="170">
        <f t="shared" si="5"/>
        <v>185</v>
      </c>
      <c r="T38" s="170">
        <f t="shared" si="6"/>
        <v>10336320</v>
      </c>
      <c r="U38" s="170" cm="1">
        <f t="array" ref="U38">_xlfn.IFS(M38=1,1400000,M38=5,1725000,M38=12,2000000,M38=2,1225000,M38=20,1150000,M38=16,1150000,M38=9,1000000,M38=17,800000,M38=7,925000,M38=14,800000,M38=18,900000,M38=19,900000,M38=4,700000,M38=6,700000,M38=13,800000,M38=15,800000,M38=3,600000,M38=8,600000,M38=10,500000,M38=11,550000)</f>
        <v>1000000</v>
      </c>
      <c r="V38" s="180" cm="1">
        <f t="array" ref="V38">_xlfn.IFS(M38=1,1.25%,M38=5,1.25%,M38=12,1.5%,M38=2,2.25%,M38=20,1.75%,M38=16,1.5%,M38=9,2.25%,M38=17,1.25%,M38=7,1.75%,M38=14,2%,M38=18,1.75%,M38=19,1.75%,M38=4,2%,M38=6,2.25%,M38=13,1.5%,M38=15,2%,M38=3,2.25%,M38=8,1.5%,M38=10,1.75%,M38=11,2%)</f>
        <v>2.2499999999999999E-2</v>
      </c>
      <c r="W38" s="170">
        <f>Comparaison!$V38*Comparaison!$S38*Comparaison!$P38</f>
        <v>232567.19999999998</v>
      </c>
      <c r="X38" s="170">
        <f>T38-Comparaison!$U38-Comparaison!$W38</f>
        <v>9103752.8000000007</v>
      </c>
      <c r="Y38" s="175">
        <f>IF(Comparaison!$P38&lt;=50000,0,1)</f>
        <v>1</v>
      </c>
    </row>
    <row r="39" spans="1:25">
      <c r="A39" s="172">
        <v>17</v>
      </c>
      <c r="B39" s="162" t="s">
        <v>74</v>
      </c>
      <c r="C39" s="162" t="str" cm="1">
        <f t="array" ref="C39">_xlfn.IFS(A39&lt;=11,"Espagne",A39&lt;=17,"Maroc",A39&lt;=20,"Portugal")</f>
        <v>Maroc</v>
      </c>
      <c r="D39" s="163" cm="1">
        <f t="array" ref="D39">_xlfn.IFS(A39=1,85000,A39=5,105000,A39=12,115000,A39=2,66975,A39=20,64600,A39=16,63050,A39=9,55872,A39=17,59800,A39=7,49036,A39=14,44296,A39=18,47000,A39=19,47595,A39=4,37260,A39=6,40608,A39=13,44135,A39=15,41850,A39=3,30576,A39=8,32870,A39=10,26100,A39=11,28796)</f>
        <v>59800</v>
      </c>
      <c r="E39" s="169" cm="1">
        <f t="array" ref="E39">_xlfn.IFS(B39="A",22.5,B39="B",20,B39="C",17.5,B39="D",15,B39="E",12.5,B39="F",10,B39="G",7.5,B39="H",5,B39="I",2.5,B39="J",0)</f>
        <v>10</v>
      </c>
      <c r="F39" s="169" cm="1">
        <f t="array" ref="F39">_xlfn.IFS(C39="Espagne",175,C39="Maroc",135,C39="Portugal",140)</f>
        <v>135</v>
      </c>
      <c r="G39" s="165">
        <f t="shared" si="2"/>
        <v>145</v>
      </c>
      <c r="H39" s="165">
        <f t="shared" si="3"/>
        <v>8671000</v>
      </c>
      <c r="I39" s="166" cm="1">
        <f t="array" ref="I39">_xlfn.IFS(A39=1,1400000,A39=5,1725000,A39=12,2000000,A39=2,1225000,A39=20,1150000,A39=16,1150000,A39=9,1000000,A39=17,800000,A39=7,925000,A39=14,800000,A39=18,900000,A39=19,900000,A39=4,700000,A39=6,700000,A39=13,800000,A39=15,800000,A39=3,600000,A39=8,600000,A39=10,500000,A39=11,550000)</f>
        <v>800000</v>
      </c>
      <c r="J39" s="165">
        <f t="shared" si="4"/>
        <v>7871000</v>
      </c>
      <c r="K39" s="176">
        <f>IF(Comparaison!$D39&lt;=50000,0,1)</f>
        <v>1</v>
      </c>
      <c r="M39" s="172">
        <v>20</v>
      </c>
      <c r="N39" s="162" t="s">
        <v>74</v>
      </c>
      <c r="O39" s="162" t="str" cm="1">
        <f t="array" ref="O39">_xlfn.IFS(M39&lt;=11,"Espagne",M39&lt;=17,"Maroc",M39&lt;=20,"Portugal")</f>
        <v>Portugal</v>
      </c>
      <c r="P39" s="163" cm="1">
        <f t="array" ref="P39">_xlfn.IFS(M39=1,85000,M39=5,105000,M39=12,115000,M39=2,66975,M39=20,64600,M39=16,63050,M39=9,55872,M39=17,59800,M39=7,49036,M39=14,44296,M39=18,47000,M39=19,47595,M39=4,37260,M39=6,40608,M39=13,44135,M39=15,41850,M39=3,30576,M39=8,32870,M39=10,26100,M39=11,28796)</f>
        <v>64600</v>
      </c>
      <c r="Q39" s="169" cm="1">
        <f t="array" ref="Q39">_xlfn.IFS(N39="A",22.5,N39="B",20,N39="C",17.5,N39="D",15,N39="E",12.5,N39="F",10,N39="G",7.5,N39="H",5,N39="I",2.5,N39="J",0)</f>
        <v>10</v>
      </c>
      <c r="R39" s="169" cm="1">
        <f t="array" ref="R39">_xlfn.IFS(O39="Espagne",175,O39="Maroc",135,O39="Portugal",140)</f>
        <v>140</v>
      </c>
      <c r="S39" s="165">
        <f t="shared" si="5"/>
        <v>150</v>
      </c>
      <c r="T39" s="165">
        <f t="shared" si="6"/>
        <v>9690000</v>
      </c>
      <c r="U39" s="165" cm="1">
        <f t="array" ref="U39">_xlfn.IFS(M39=1,1400000,M39=5,1725000,M39=12,2000000,M39=2,1225000,M39=20,1150000,M39=16,1150000,M39=9,1000000,M39=17,800000,M39=7,925000,M39=14,800000,M39=18,900000,M39=19,900000,M39=4,700000,M39=6,700000,M39=13,800000,M39=15,800000,M39=3,600000,M39=8,600000,M39=10,500000,M39=11,550000)</f>
        <v>1150000</v>
      </c>
      <c r="V39" s="179" cm="1">
        <f t="array" ref="V39">_xlfn.IFS(M39=1,1.25%,M39=5,1.25%,M39=12,1.5%,M39=2,2.25%,M39=20,1.75%,M39=16,1.5%,M39=9,2.25%,M39=17,1.25%,M39=7,1.75%,M39=14,2%,M39=18,1.75%,M39=19,1.75%,M39=4,2%,M39=6,2.25%,M39=13,1.5%,M39=15,2%,M39=3,2.25%,M39=8,1.5%,M39=10,1.75%,M39=11,2%)</f>
        <v>1.7500000000000002E-2</v>
      </c>
      <c r="W39" s="165">
        <f>Comparaison!$V39*Comparaison!$S39*Comparaison!$P39</f>
        <v>169575.00000000003</v>
      </c>
      <c r="X39" s="165">
        <f>T39-Comparaison!$U39-Comparaison!$W39</f>
        <v>8370425</v>
      </c>
      <c r="Y39" s="176">
        <f>IF(Comparaison!$P39&lt;=50000,0,1)</f>
        <v>1</v>
      </c>
    </row>
    <row r="40" spans="1:25">
      <c r="A40" s="173">
        <v>17</v>
      </c>
      <c r="B40" s="167" t="s">
        <v>74</v>
      </c>
      <c r="C40" s="167" t="str" cm="1">
        <f t="array" ref="C40">_xlfn.IFS(A40&lt;=11,"Espagne",A40&lt;=17,"Maroc",A40&lt;=20,"Portugal")</f>
        <v>Maroc</v>
      </c>
      <c r="D40" s="168" cm="1">
        <f t="array" ref="D40">_xlfn.IFS(A40=1,85000,A40=5,105000,A40=12,115000,A40=2,66975,A40=20,64600,A40=16,63050,A40=9,55872,A40=17,59800,A40=7,49036,A40=14,44296,A40=18,47000,A40=19,47595,A40=4,37260,A40=6,40608,A40=13,44135,A40=15,41850,A40=3,30576,A40=8,32870,A40=10,26100,A40=11,28796)</f>
        <v>59800</v>
      </c>
      <c r="E40" s="169" cm="1">
        <f t="array" ref="E40">_xlfn.IFS(B40="A",22.5,B40="B",20,B40="C",17.5,B40="D",15,B40="E",12.5,B40="F",10,B40="G",7.5,B40="H",5,B40="I",2.5,B40="J",0)</f>
        <v>10</v>
      </c>
      <c r="F40" s="169" cm="1">
        <f t="array" ref="F40">_xlfn.IFS(C40="Espagne",175,C40="Maroc",135,C40="Portugal",140)</f>
        <v>135</v>
      </c>
      <c r="G40" s="170">
        <f t="shared" si="2"/>
        <v>145</v>
      </c>
      <c r="H40" s="170">
        <f t="shared" si="3"/>
        <v>8671000</v>
      </c>
      <c r="I40" s="171" cm="1">
        <f t="array" ref="I40">_xlfn.IFS(A40=1,1400000,A40=5,1725000,A40=12,2000000,A40=2,1225000,A40=20,1150000,A40=16,1150000,A40=9,1000000,A40=17,800000,A40=7,925000,A40=14,800000,A40=18,900000,A40=19,900000,A40=4,700000,A40=6,700000,A40=13,800000,A40=15,800000,A40=3,600000,A40=8,600000,A40=10,500000,A40=11,550000)</f>
        <v>800000</v>
      </c>
      <c r="J40" s="170">
        <f t="shared" si="4"/>
        <v>7871000</v>
      </c>
      <c r="K40" s="175">
        <f>IF(Comparaison!$D40&lt;=50000,0,1)</f>
        <v>1</v>
      </c>
      <c r="M40" s="173">
        <v>20</v>
      </c>
      <c r="N40" s="167" t="s">
        <v>74</v>
      </c>
      <c r="O40" s="167" t="str" cm="1">
        <f t="array" ref="O40">_xlfn.IFS(M40&lt;=11,"Espagne",M40&lt;=17,"Maroc",M40&lt;=20,"Portugal")</f>
        <v>Portugal</v>
      </c>
      <c r="P40" s="168" cm="1">
        <f t="array" ref="P40">_xlfn.IFS(M40=1,85000,M40=5,105000,M40=12,115000,M40=2,66975,M40=20,64600,M40=16,63050,M40=9,55872,M40=17,59800,M40=7,49036,M40=14,44296,M40=18,47000,M40=19,47595,M40=4,37260,M40=6,40608,M40=13,44135,M40=15,41850,M40=3,30576,M40=8,32870,M40=10,26100,M40=11,28796)</f>
        <v>64600</v>
      </c>
      <c r="Q40" s="169" cm="1">
        <f t="array" ref="Q40">_xlfn.IFS(N40="A",22.5,N40="B",20,N40="C",17.5,N40="D",15,N40="E",12.5,N40="F",10,N40="G",7.5,N40="H",5,N40="I",2.5,N40="J",0)</f>
        <v>10</v>
      </c>
      <c r="R40" s="169" cm="1">
        <f t="array" ref="R40">_xlfn.IFS(O40="Espagne",175,O40="Maroc",135,O40="Portugal",140)</f>
        <v>140</v>
      </c>
      <c r="S40" s="170">
        <f t="shared" si="5"/>
        <v>150</v>
      </c>
      <c r="T40" s="170">
        <f t="shared" si="6"/>
        <v>9690000</v>
      </c>
      <c r="U40" s="170" cm="1">
        <f t="array" ref="U40">_xlfn.IFS(M40=1,1400000,M40=5,1725000,M40=12,2000000,M40=2,1225000,M40=20,1150000,M40=16,1150000,M40=9,1000000,M40=17,800000,M40=7,925000,M40=14,800000,M40=18,900000,M40=19,900000,M40=4,700000,M40=6,700000,M40=13,800000,M40=15,800000,M40=3,600000,M40=8,600000,M40=10,500000,M40=11,550000)</f>
        <v>1150000</v>
      </c>
      <c r="V40" s="180" cm="1">
        <f t="array" ref="V40">_xlfn.IFS(M40=1,1.25%,M40=5,1.25%,M40=12,1.5%,M40=2,2.25%,M40=20,1.75%,M40=16,1.5%,M40=9,2.25%,M40=17,1.25%,M40=7,1.75%,M40=14,2%,M40=18,1.75%,M40=19,1.75%,M40=4,2%,M40=6,2.25%,M40=13,1.5%,M40=15,2%,M40=3,2.25%,M40=8,1.5%,M40=10,1.75%,M40=11,2%)</f>
        <v>1.7500000000000002E-2</v>
      </c>
      <c r="W40" s="170">
        <f>Comparaison!$V40*Comparaison!$S40*Comparaison!$P40</f>
        <v>169575.00000000003</v>
      </c>
      <c r="X40" s="170">
        <f>T40-Comparaison!$U40-Comparaison!$W40</f>
        <v>8370425</v>
      </c>
      <c r="Y40" s="175">
        <f>IF(Comparaison!$P40&lt;=50000,0,1)</f>
        <v>1</v>
      </c>
    </row>
    <row r="41" spans="1:25">
      <c r="A41" s="172">
        <v>7</v>
      </c>
      <c r="B41" s="162" t="s">
        <v>75</v>
      </c>
      <c r="C41" s="162" t="str" cm="1">
        <f t="array" ref="C41">_xlfn.IFS(A41&lt;=11,"Espagne",A41&lt;=17,"Maroc",A41&lt;=20,"Portugal")</f>
        <v>Espagne</v>
      </c>
      <c r="D41" s="163" cm="1">
        <f t="array" ref="D41">_xlfn.IFS(A41=1,85000,A41=5,105000,A41=12,115000,A41=2,66975,A41=20,64600,A41=16,63050,A41=9,55872,A41=17,59800,A41=7,49036,A41=14,44296,A41=18,47000,A41=19,47595,A41=4,37260,A41=6,40608,A41=13,44135,A41=15,41850,A41=3,30576,A41=8,32870,A41=10,26100,A41=11,28796)</f>
        <v>49036</v>
      </c>
      <c r="E41" s="169" cm="1">
        <f t="array" ref="E41">_xlfn.IFS(B41="A",22.5,B41="B",20,B41="C",17.5,B41="D",15,B41="E",12.5,B41="F",10,B41="G",7.5,B41="H",5,B41="I",2.5,B41="J",0)</f>
        <v>7.5</v>
      </c>
      <c r="F41" s="169" cm="1">
        <f t="array" ref="F41">_xlfn.IFS(C41="Espagne",175,C41="Maroc",135,C41="Portugal",140)</f>
        <v>175</v>
      </c>
      <c r="G41" s="165">
        <f t="shared" si="2"/>
        <v>182.5</v>
      </c>
      <c r="H41" s="165">
        <f t="shared" si="3"/>
        <v>8949070</v>
      </c>
      <c r="I41" s="166" cm="1">
        <f t="array" ref="I41">_xlfn.IFS(A41=1,1400000,A41=5,1725000,A41=12,2000000,A41=2,1225000,A41=20,1150000,A41=16,1150000,A41=9,1000000,A41=17,800000,A41=7,925000,A41=14,800000,A41=18,900000,A41=19,900000,A41=4,700000,A41=6,700000,A41=13,800000,A41=15,800000,A41=3,600000,A41=8,600000,A41=10,500000,A41=11,550000)</f>
        <v>925000</v>
      </c>
      <c r="J41" s="165">
        <f t="shared" si="4"/>
        <v>8024070</v>
      </c>
      <c r="K41" s="176">
        <f>IF(Comparaison!$D41&lt;=50000,0,1)</f>
        <v>0</v>
      </c>
      <c r="M41" s="172">
        <v>6</v>
      </c>
      <c r="N41" s="162" t="s">
        <v>75</v>
      </c>
      <c r="O41" s="162" t="str" cm="1">
        <f t="array" ref="O41">_xlfn.IFS(M41&lt;=11,"Espagne",M41&lt;=17,"Maroc",M41&lt;=20,"Portugal")</f>
        <v>Espagne</v>
      </c>
      <c r="P41" s="163" cm="1">
        <f t="array" ref="P41">_xlfn.IFS(M41=1,85000,M41=5,105000,M41=12,115000,M41=2,66975,M41=20,64600,M41=16,63050,M41=9,55872,M41=17,59800,M41=7,49036,M41=14,44296,M41=18,47000,M41=19,47595,M41=4,37260,M41=6,40608,M41=13,44135,M41=15,41850,M41=3,30576,M41=8,32870,M41=10,26100,M41=11,28796)</f>
        <v>40608</v>
      </c>
      <c r="Q41" s="169" cm="1">
        <f t="array" ref="Q41">_xlfn.IFS(N41="A",22.5,N41="B",20,N41="C",17.5,N41="D",15,N41="E",12.5,N41="F",10,N41="G",7.5,N41="H",5,N41="I",2.5,N41="J",0)</f>
        <v>7.5</v>
      </c>
      <c r="R41" s="169" cm="1">
        <f t="array" ref="R41">_xlfn.IFS(O41="Espagne",175,O41="Maroc",135,O41="Portugal",140)</f>
        <v>175</v>
      </c>
      <c r="S41" s="165">
        <f t="shared" si="5"/>
        <v>182.5</v>
      </c>
      <c r="T41" s="165">
        <f t="shared" si="6"/>
        <v>7410960</v>
      </c>
      <c r="U41" s="165" cm="1">
        <f t="array" ref="U41">_xlfn.IFS(M41=1,1400000,M41=5,1725000,M41=12,2000000,M41=2,1225000,M41=20,1150000,M41=16,1150000,M41=9,1000000,M41=17,800000,M41=7,925000,M41=14,800000,M41=18,900000,M41=19,900000,M41=4,700000,M41=6,700000,M41=13,800000,M41=15,800000,M41=3,600000,M41=8,600000,M41=10,500000,M41=11,550000)</f>
        <v>700000</v>
      </c>
      <c r="V41" s="179" cm="1">
        <f t="array" ref="V41">_xlfn.IFS(M41=1,1.25%,M41=5,1.25%,M41=12,1.5%,M41=2,2.25%,M41=20,1.75%,M41=16,1.5%,M41=9,2.25%,M41=17,1.25%,M41=7,1.75%,M41=14,2%,M41=18,1.75%,M41=19,1.75%,M41=4,2%,M41=6,2.25%,M41=13,1.5%,M41=15,2%,M41=3,2.25%,M41=8,1.5%,M41=10,1.75%,M41=11,2%)</f>
        <v>2.2499999999999999E-2</v>
      </c>
      <c r="W41" s="165">
        <f>Comparaison!$V41*Comparaison!$S41*Comparaison!$P41</f>
        <v>166746.6</v>
      </c>
      <c r="X41" s="165">
        <f>T41-Comparaison!$U41-Comparaison!$W41</f>
        <v>6544213.4000000004</v>
      </c>
      <c r="Y41" s="176">
        <f>IF(Comparaison!$P41&lt;=50000,0,1)</f>
        <v>0</v>
      </c>
    </row>
    <row r="42" spans="1:25">
      <c r="A42" s="173">
        <v>7</v>
      </c>
      <c r="B42" s="167" t="s">
        <v>75</v>
      </c>
      <c r="C42" s="167" t="str" cm="1">
        <f t="array" ref="C42">_xlfn.IFS(A42&lt;=11,"Espagne",A42&lt;=17,"Maroc",A42&lt;=20,"Portugal")</f>
        <v>Espagne</v>
      </c>
      <c r="D42" s="168" cm="1">
        <f t="array" ref="D42">_xlfn.IFS(A42=1,85000,A42=5,105000,A42=12,115000,A42=2,66975,A42=20,64600,A42=16,63050,A42=9,55872,A42=17,59800,A42=7,49036,A42=14,44296,A42=18,47000,A42=19,47595,A42=4,37260,A42=6,40608,A42=13,44135,A42=15,41850,A42=3,30576,A42=8,32870,A42=10,26100,A42=11,28796)</f>
        <v>49036</v>
      </c>
      <c r="E42" s="169" cm="1">
        <f t="array" ref="E42">_xlfn.IFS(B42="A",22.5,B42="B",20,B42="C",17.5,B42="D",15,B42="E",12.5,B42="F",10,B42="G",7.5,B42="H",5,B42="I",2.5,B42="J",0)</f>
        <v>7.5</v>
      </c>
      <c r="F42" s="169" cm="1">
        <f t="array" ref="F42">_xlfn.IFS(C42="Espagne",175,C42="Maroc",135,C42="Portugal",140)</f>
        <v>175</v>
      </c>
      <c r="G42" s="170">
        <f t="shared" si="2"/>
        <v>182.5</v>
      </c>
      <c r="H42" s="170">
        <f t="shared" si="3"/>
        <v>8949070</v>
      </c>
      <c r="I42" s="171" cm="1">
        <f t="array" ref="I42">_xlfn.IFS(A42=1,1400000,A42=5,1725000,A42=12,2000000,A42=2,1225000,A42=20,1150000,A42=16,1150000,A42=9,1000000,A42=17,800000,A42=7,925000,A42=14,800000,A42=18,900000,A42=19,900000,A42=4,700000,A42=6,700000,A42=13,800000,A42=15,800000,A42=3,600000,A42=8,600000,A42=10,500000,A42=11,550000)</f>
        <v>925000</v>
      </c>
      <c r="J42" s="170">
        <f t="shared" si="4"/>
        <v>8024070</v>
      </c>
      <c r="K42" s="175">
        <f>IF(Comparaison!$D42&lt;=50000,0,1)</f>
        <v>0</v>
      </c>
      <c r="M42" s="173">
        <v>7</v>
      </c>
      <c r="N42" s="167" t="s">
        <v>75</v>
      </c>
      <c r="O42" s="167" t="str" cm="1">
        <f t="array" ref="O42">_xlfn.IFS(M42&lt;=11,"Espagne",M42&lt;=17,"Maroc",M42&lt;=20,"Portugal")</f>
        <v>Espagne</v>
      </c>
      <c r="P42" s="168" cm="1">
        <f t="array" ref="P42">_xlfn.IFS(M42=1,85000,M42=5,105000,M42=12,115000,M42=2,66975,M42=20,64600,M42=16,63050,M42=9,55872,M42=17,59800,M42=7,49036,M42=14,44296,M42=18,47000,M42=19,47595,M42=4,37260,M42=6,40608,M42=13,44135,M42=15,41850,M42=3,30576,M42=8,32870,M42=10,26100,M42=11,28796)</f>
        <v>49036</v>
      </c>
      <c r="Q42" s="169" cm="1">
        <f t="array" ref="Q42">_xlfn.IFS(N42="A",22.5,N42="B",20,N42="C",17.5,N42="D",15,N42="E",12.5,N42="F",10,N42="G",7.5,N42="H",5,N42="I",2.5,N42="J",0)</f>
        <v>7.5</v>
      </c>
      <c r="R42" s="169" cm="1">
        <f t="array" ref="R42">_xlfn.IFS(O42="Espagne",175,O42="Maroc",135,O42="Portugal",140)</f>
        <v>175</v>
      </c>
      <c r="S42" s="170">
        <f t="shared" si="5"/>
        <v>182.5</v>
      </c>
      <c r="T42" s="170">
        <f t="shared" si="6"/>
        <v>8949070</v>
      </c>
      <c r="U42" s="170" cm="1">
        <f t="array" ref="U42">_xlfn.IFS(M42=1,1400000,M42=5,1725000,M42=12,2000000,M42=2,1225000,M42=20,1150000,M42=16,1150000,M42=9,1000000,M42=17,800000,M42=7,925000,M42=14,800000,M42=18,900000,M42=19,900000,M42=4,700000,M42=6,700000,M42=13,800000,M42=15,800000,M42=3,600000,M42=8,600000,M42=10,500000,M42=11,550000)</f>
        <v>925000</v>
      </c>
      <c r="V42" s="180" cm="1">
        <f t="array" ref="V42">_xlfn.IFS(M42=1,1.25%,M42=5,1.25%,M42=12,1.5%,M42=2,2.25%,M42=20,1.75%,M42=16,1.5%,M42=9,2.25%,M42=17,1.25%,M42=7,1.75%,M42=14,2%,M42=18,1.75%,M42=19,1.75%,M42=4,2%,M42=6,2.25%,M42=13,1.5%,M42=15,2%,M42=3,2.25%,M42=8,1.5%,M42=10,1.75%,M42=11,2%)</f>
        <v>1.7500000000000002E-2</v>
      </c>
      <c r="W42" s="170">
        <f>Comparaison!$V42*Comparaison!$S42*Comparaison!$P42</f>
        <v>156608.72500000001</v>
      </c>
      <c r="X42" s="170">
        <f>T42-Comparaison!$U42-Comparaison!$W42</f>
        <v>7867461.2750000004</v>
      </c>
      <c r="Y42" s="175">
        <f>IF(Comparaison!$P42&lt;=50000,0,1)</f>
        <v>0</v>
      </c>
    </row>
    <row r="43" spans="1:25">
      <c r="A43" s="172">
        <v>9</v>
      </c>
      <c r="B43" s="162" t="s">
        <v>75</v>
      </c>
      <c r="C43" s="162" t="str" cm="1">
        <f t="array" ref="C43">_xlfn.IFS(A43&lt;=11,"Espagne",A43&lt;=17,"Maroc",A43&lt;=20,"Portugal")</f>
        <v>Espagne</v>
      </c>
      <c r="D43" s="163" cm="1">
        <f t="array" ref="D43">_xlfn.IFS(A43=1,85000,A43=5,105000,A43=12,115000,A43=2,66975,A43=20,64600,A43=16,63050,A43=9,55872,A43=17,59800,A43=7,49036,A43=14,44296,A43=18,47000,A43=19,47595,A43=4,37260,A43=6,40608,A43=13,44135,A43=15,41850,A43=3,30576,A43=8,32870,A43=10,26100,A43=11,28796)</f>
        <v>55872</v>
      </c>
      <c r="E43" s="169" cm="1">
        <f t="array" ref="E43">_xlfn.IFS(B43="A",22.5,B43="B",20,B43="C",17.5,B43="D",15,B43="E",12.5,B43="F",10,B43="G",7.5,B43="H",5,B43="I",2.5,B43="J",0)</f>
        <v>7.5</v>
      </c>
      <c r="F43" s="169" cm="1">
        <f t="array" ref="F43">_xlfn.IFS(C43="Espagne",175,C43="Maroc",135,C43="Portugal",140)</f>
        <v>175</v>
      </c>
      <c r="G43" s="165">
        <f t="shared" si="2"/>
        <v>182.5</v>
      </c>
      <c r="H43" s="165">
        <f t="shared" si="3"/>
        <v>10196640</v>
      </c>
      <c r="I43" s="166" cm="1">
        <f t="array" ref="I43">_xlfn.IFS(A43=1,1400000,A43=5,1725000,A43=12,2000000,A43=2,1225000,A43=20,1150000,A43=16,1150000,A43=9,1000000,A43=17,800000,A43=7,925000,A43=14,800000,A43=18,900000,A43=19,900000,A43=4,700000,A43=6,700000,A43=13,800000,A43=15,800000,A43=3,600000,A43=8,600000,A43=10,500000,A43=11,550000)</f>
        <v>1000000</v>
      </c>
      <c r="J43" s="165">
        <f t="shared" si="4"/>
        <v>9196640</v>
      </c>
      <c r="K43" s="176">
        <f>IF(Comparaison!$D43&lt;=50000,0,1)</f>
        <v>1</v>
      </c>
      <c r="M43" s="172">
        <v>7</v>
      </c>
      <c r="N43" s="162" t="s">
        <v>75</v>
      </c>
      <c r="O43" s="162" t="str" cm="1">
        <f t="array" ref="O43">_xlfn.IFS(M43&lt;=11,"Espagne",M43&lt;=17,"Maroc",M43&lt;=20,"Portugal")</f>
        <v>Espagne</v>
      </c>
      <c r="P43" s="163" cm="1">
        <f t="array" ref="P43">_xlfn.IFS(M43=1,85000,M43=5,105000,M43=12,115000,M43=2,66975,M43=20,64600,M43=16,63050,M43=9,55872,M43=17,59800,M43=7,49036,M43=14,44296,M43=18,47000,M43=19,47595,M43=4,37260,M43=6,40608,M43=13,44135,M43=15,41850,M43=3,30576,M43=8,32870,M43=10,26100,M43=11,28796)</f>
        <v>49036</v>
      </c>
      <c r="Q43" s="169" cm="1">
        <f t="array" ref="Q43">_xlfn.IFS(N43="A",22.5,N43="B",20,N43="C",17.5,N43="D",15,N43="E",12.5,N43="F",10,N43="G",7.5,N43="H",5,N43="I",2.5,N43="J",0)</f>
        <v>7.5</v>
      </c>
      <c r="R43" s="169" cm="1">
        <f t="array" ref="R43">_xlfn.IFS(O43="Espagne",175,O43="Maroc",135,O43="Portugal",140)</f>
        <v>175</v>
      </c>
      <c r="S43" s="165">
        <f t="shared" si="5"/>
        <v>182.5</v>
      </c>
      <c r="T43" s="165">
        <f t="shared" si="6"/>
        <v>8949070</v>
      </c>
      <c r="U43" s="165" cm="1">
        <f t="array" ref="U43">_xlfn.IFS(M43=1,1400000,M43=5,1725000,M43=12,2000000,M43=2,1225000,M43=20,1150000,M43=16,1150000,M43=9,1000000,M43=17,800000,M43=7,925000,M43=14,800000,M43=18,900000,M43=19,900000,M43=4,700000,M43=6,700000,M43=13,800000,M43=15,800000,M43=3,600000,M43=8,600000,M43=10,500000,M43=11,550000)</f>
        <v>925000</v>
      </c>
      <c r="V43" s="179" cm="1">
        <f t="array" ref="V43">_xlfn.IFS(M43=1,1.25%,M43=5,1.25%,M43=12,1.5%,M43=2,2.25%,M43=20,1.75%,M43=16,1.5%,M43=9,2.25%,M43=17,1.25%,M43=7,1.75%,M43=14,2%,M43=18,1.75%,M43=19,1.75%,M43=4,2%,M43=6,2.25%,M43=13,1.5%,M43=15,2%,M43=3,2.25%,M43=8,1.5%,M43=10,1.75%,M43=11,2%)</f>
        <v>1.7500000000000002E-2</v>
      </c>
      <c r="W43" s="165">
        <f>Comparaison!$V43*Comparaison!$S43*Comparaison!$P43</f>
        <v>156608.72500000001</v>
      </c>
      <c r="X43" s="165">
        <f>T43-Comparaison!$U43-Comparaison!$W43</f>
        <v>7867461.2750000004</v>
      </c>
      <c r="Y43" s="176">
        <f>IF(Comparaison!$P43&lt;=50000,0,1)</f>
        <v>0</v>
      </c>
    </row>
    <row r="44" spans="1:25">
      <c r="A44" s="173">
        <v>9</v>
      </c>
      <c r="B44" s="167" t="s">
        <v>75</v>
      </c>
      <c r="C44" s="167" t="str" cm="1">
        <f t="array" ref="C44">_xlfn.IFS(A44&lt;=11,"Espagne",A44&lt;=17,"Maroc",A44&lt;=20,"Portugal")</f>
        <v>Espagne</v>
      </c>
      <c r="D44" s="168" cm="1">
        <f t="array" ref="D44">_xlfn.IFS(A44=1,85000,A44=5,105000,A44=12,115000,A44=2,66975,A44=20,64600,A44=16,63050,A44=9,55872,A44=17,59800,A44=7,49036,A44=14,44296,A44=18,47000,A44=19,47595,A44=4,37260,A44=6,40608,A44=13,44135,A44=15,41850,A44=3,30576,A44=8,32870,A44=10,26100,A44=11,28796)</f>
        <v>55872</v>
      </c>
      <c r="E44" s="169" cm="1">
        <f t="array" ref="E44">_xlfn.IFS(B44="A",22.5,B44="B",20,B44="C",17.5,B44="D",15,B44="E",12.5,B44="F",10,B44="G",7.5,B44="H",5,B44="I",2.5,B44="J",0)</f>
        <v>7.5</v>
      </c>
      <c r="F44" s="169" cm="1">
        <f t="array" ref="F44">_xlfn.IFS(C44="Espagne",175,C44="Maroc",135,C44="Portugal",140)</f>
        <v>175</v>
      </c>
      <c r="G44" s="170">
        <f t="shared" si="2"/>
        <v>182.5</v>
      </c>
      <c r="H44" s="170">
        <f t="shared" si="3"/>
        <v>10196640</v>
      </c>
      <c r="I44" s="171" cm="1">
        <f t="array" ref="I44">_xlfn.IFS(A44=1,1400000,A44=5,1725000,A44=12,2000000,A44=2,1225000,A44=20,1150000,A44=16,1150000,A44=9,1000000,A44=17,800000,A44=7,925000,A44=14,800000,A44=18,900000,A44=19,900000,A44=4,700000,A44=6,700000,A44=13,800000,A44=15,800000,A44=3,600000,A44=8,600000,A44=10,500000,A44=11,550000)</f>
        <v>1000000</v>
      </c>
      <c r="J44" s="170">
        <f t="shared" si="4"/>
        <v>9196640</v>
      </c>
      <c r="K44" s="175">
        <f>IF(Comparaison!$D44&lt;=50000,0,1)</f>
        <v>1</v>
      </c>
      <c r="M44" s="173">
        <v>9</v>
      </c>
      <c r="N44" s="167" t="s">
        <v>75</v>
      </c>
      <c r="O44" s="167" t="str" cm="1">
        <f t="array" ref="O44">_xlfn.IFS(M44&lt;=11,"Espagne",M44&lt;=17,"Maroc",M44&lt;=20,"Portugal")</f>
        <v>Espagne</v>
      </c>
      <c r="P44" s="168" cm="1">
        <f t="array" ref="P44">_xlfn.IFS(M44=1,85000,M44=5,105000,M44=12,115000,M44=2,66975,M44=20,64600,M44=16,63050,M44=9,55872,M44=17,59800,M44=7,49036,M44=14,44296,M44=18,47000,M44=19,47595,M44=4,37260,M44=6,40608,M44=13,44135,M44=15,41850,M44=3,30576,M44=8,32870,M44=10,26100,M44=11,28796)</f>
        <v>55872</v>
      </c>
      <c r="Q44" s="169" cm="1">
        <f t="array" ref="Q44">_xlfn.IFS(N44="A",22.5,N44="B",20,N44="C",17.5,N44="D",15,N44="E",12.5,N44="F",10,N44="G",7.5,N44="H",5,N44="I",2.5,N44="J",0)</f>
        <v>7.5</v>
      </c>
      <c r="R44" s="169" cm="1">
        <f t="array" ref="R44">_xlfn.IFS(O44="Espagne",175,O44="Maroc",135,O44="Portugal",140)</f>
        <v>175</v>
      </c>
      <c r="S44" s="170">
        <f t="shared" si="5"/>
        <v>182.5</v>
      </c>
      <c r="T44" s="170">
        <f t="shared" si="6"/>
        <v>10196640</v>
      </c>
      <c r="U44" s="170" cm="1">
        <f t="array" ref="U44">_xlfn.IFS(M44=1,1400000,M44=5,1725000,M44=12,2000000,M44=2,1225000,M44=20,1150000,M44=16,1150000,M44=9,1000000,M44=17,800000,M44=7,925000,M44=14,800000,M44=18,900000,M44=19,900000,M44=4,700000,M44=6,700000,M44=13,800000,M44=15,800000,M44=3,600000,M44=8,600000,M44=10,500000,M44=11,550000)</f>
        <v>1000000</v>
      </c>
      <c r="V44" s="180" cm="1">
        <f t="array" ref="V44">_xlfn.IFS(M44=1,1.25%,M44=5,1.25%,M44=12,1.5%,M44=2,2.25%,M44=20,1.75%,M44=16,1.5%,M44=9,2.25%,M44=17,1.25%,M44=7,1.75%,M44=14,2%,M44=18,1.75%,M44=19,1.75%,M44=4,2%,M44=6,2.25%,M44=13,1.5%,M44=15,2%,M44=3,2.25%,M44=8,1.5%,M44=10,1.75%,M44=11,2%)</f>
        <v>2.2499999999999999E-2</v>
      </c>
      <c r="W44" s="170">
        <f>Comparaison!$V44*Comparaison!$S44*Comparaison!$P44</f>
        <v>229424.40000000002</v>
      </c>
      <c r="X44" s="170">
        <f>T44-Comparaison!$U44-Comparaison!$W44</f>
        <v>8967215.5999999996</v>
      </c>
      <c r="Y44" s="175">
        <f>IF(Comparaison!$P44&lt;=50000,0,1)</f>
        <v>1</v>
      </c>
    </row>
    <row r="45" spans="1:25">
      <c r="A45" s="172">
        <v>17</v>
      </c>
      <c r="B45" s="162" t="s">
        <v>75</v>
      </c>
      <c r="C45" s="162" t="str" cm="1">
        <f t="array" ref="C45">_xlfn.IFS(A45&lt;=11,"Espagne",A45&lt;=17,"Maroc",A45&lt;=20,"Portugal")</f>
        <v>Maroc</v>
      </c>
      <c r="D45" s="163" cm="1">
        <f t="array" ref="D45">_xlfn.IFS(A45=1,85000,A45=5,105000,A45=12,115000,A45=2,66975,A45=20,64600,A45=16,63050,A45=9,55872,A45=17,59800,A45=7,49036,A45=14,44296,A45=18,47000,A45=19,47595,A45=4,37260,A45=6,40608,A45=13,44135,A45=15,41850,A45=3,30576,A45=8,32870,A45=10,26100,A45=11,28796)</f>
        <v>59800</v>
      </c>
      <c r="E45" s="169" cm="1">
        <f t="array" ref="E45">_xlfn.IFS(B45="A",22.5,B45="B",20,B45="C",17.5,B45="D",15,B45="E",12.5,B45="F",10,B45="G",7.5,B45="H",5,B45="I",2.5,B45="J",0)</f>
        <v>7.5</v>
      </c>
      <c r="F45" s="169" cm="1">
        <f t="array" ref="F45">_xlfn.IFS(C45="Espagne",175,C45="Maroc",135,C45="Portugal",140)</f>
        <v>135</v>
      </c>
      <c r="G45" s="165">
        <f t="shared" si="2"/>
        <v>142.5</v>
      </c>
      <c r="H45" s="165">
        <f t="shared" si="3"/>
        <v>8521500</v>
      </c>
      <c r="I45" s="166" cm="1">
        <f t="array" ref="I45">_xlfn.IFS(A45=1,1400000,A45=5,1725000,A45=12,2000000,A45=2,1225000,A45=20,1150000,A45=16,1150000,A45=9,1000000,A45=17,800000,A45=7,925000,A45=14,800000,A45=18,900000,A45=19,900000,A45=4,700000,A45=6,700000,A45=13,800000,A45=15,800000,A45=3,600000,A45=8,600000,A45=10,500000,A45=11,550000)</f>
        <v>800000</v>
      </c>
      <c r="J45" s="165">
        <f t="shared" si="4"/>
        <v>7721500</v>
      </c>
      <c r="K45" s="176">
        <f>IF(Comparaison!$D45&lt;=50000,0,1)</f>
        <v>1</v>
      </c>
      <c r="M45" s="172">
        <v>9</v>
      </c>
      <c r="N45" s="162" t="s">
        <v>75</v>
      </c>
      <c r="O45" s="162" t="str" cm="1">
        <f t="array" ref="O45">_xlfn.IFS(M45&lt;=11,"Espagne",M45&lt;=17,"Maroc",M45&lt;=20,"Portugal")</f>
        <v>Espagne</v>
      </c>
      <c r="P45" s="163" cm="1">
        <f t="array" ref="P45">_xlfn.IFS(M45=1,85000,M45=5,105000,M45=12,115000,M45=2,66975,M45=20,64600,M45=16,63050,M45=9,55872,M45=17,59800,M45=7,49036,M45=14,44296,M45=18,47000,M45=19,47595,M45=4,37260,M45=6,40608,M45=13,44135,M45=15,41850,M45=3,30576,M45=8,32870,M45=10,26100,M45=11,28796)</f>
        <v>55872</v>
      </c>
      <c r="Q45" s="169" cm="1">
        <f t="array" ref="Q45">_xlfn.IFS(N45="A",22.5,N45="B",20,N45="C",17.5,N45="D",15,N45="E",12.5,N45="F",10,N45="G",7.5,N45="H",5,N45="I",2.5,N45="J",0)</f>
        <v>7.5</v>
      </c>
      <c r="R45" s="169" cm="1">
        <f t="array" ref="R45">_xlfn.IFS(O45="Espagne",175,O45="Maroc",135,O45="Portugal",140)</f>
        <v>175</v>
      </c>
      <c r="S45" s="165">
        <f t="shared" si="5"/>
        <v>182.5</v>
      </c>
      <c r="T45" s="165">
        <f t="shared" si="6"/>
        <v>10196640</v>
      </c>
      <c r="U45" s="165" cm="1">
        <f t="array" ref="U45">_xlfn.IFS(M45=1,1400000,M45=5,1725000,M45=12,2000000,M45=2,1225000,M45=20,1150000,M45=16,1150000,M45=9,1000000,M45=17,800000,M45=7,925000,M45=14,800000,M45=18,900000,M45=19,900000,M45=4,700000,M45=6,700000,M45=13,800000,M45=15,800000,M45=3,600000,M45=8,600000,M45=10,500000,M45=11,550000)</f>
        <v>1000000</v>
      </c>
      <c r="V45" s="179" cm="1">
        <f t="array" ref="V45">_xlfn.IFS(M45=1,1.25%,M45=5,1.25%,M45=12,1.5%,M45=2,2.25%,M45=20,1.75%,M45=16,1.5%,M45=9,2.25%,M45=17,1.25%,M45=7,1.75%,M45=14,2%,M45=18,1.75%,M45=19,1.75%,M45=4,2%,M45=6,2.25%,M45=13,1.5%,M45=15,2%,M45=3,2.25%,M45=8,1.5%,M45=10,1.75%,M45=11,2%)</f>
        <v>2.2499999999999999E-2</v>
      </c>
      <c r="W45" s="165">
        <f>Comparaison!$V45*Comparaison!$S45*Comparaison!$P45</f>
        <v>229424.40000000002</v>
      </c>
      <c r="X45" s="165">
        <f>T45-Comparaison!$U45-Comparaison!$W45</f>
        <v>8967215.5999999996</v>
      </c>
      <c r="Y45" s="176">
        <f>IF(Comparaison!$P45&lt;=50000,0,1)</f>
        <v>1</v>
      </c>
    </row>
    <row r="46" spans="1:25">
      <c r="A46" s="173">
        <v>17</v>
      </c>
      <c r="B46" s="167" t="s">
        <v>75</v>
      </c>
      <c r="C46" s="167" t="str" cm="1">
        <f t="array" ref="C46">_xlfn.IFS(A46&lt;=11,"Espagne",A46&lt;=17,"Maroc",A46&lt;=20,"Portugal")</f>
        <v>Maroc</v>
      </c>
      <c r="D46" s="168" cm="1">
        <f t="array" ref="D46">_xlfn.IFS(A46=1,85000,A46=5,105000,A46=12,115000,A46=2,66975,A46=20,64600,A46=16,63050,A46=9,55872,A46=17,59800,A46=7,49036,A46=14,44296,A46=18,47000,A46=19,47595,A46=4,37260,A46=6,40608,A46=13,44135,A46=15,41850,A46=3,30576,A46=8,32870,A46=10,26100,A46=11,28796)</f>
        <v>59800</v>
      </c>
      <c r="E46" s="169" cm="1">
        <f t="array" ref="E46">_xlfn.IFS(B46="A",22.5,B46="B",20,B46="C",17.5,B46="D",15,B46="E",12.5,B46="F",10,B46="G",7.5,B46="H",5,B46="I",2.5,B46="J",0)</f>
        <v>7.5</v>
      </c>
      <c r="F46" s="169" cm="1">
        <f t="array" ref="F46">_xlfn.IFS(C46="Espagne",175,C46="Maroc",135,C46="Portugal",140)</f>
        <v>135</v>
      </c>
      <c r="G46" s="170">
        <f t="shared" si="2"/>
        <v>142.5</v>
      </c>
      <c r="H46" s="170">
        <f t="shared" si="3"/>
        <v>8521500</v>
      </c>
      <c r="I46" s="171" cm="1">
        <f t="array" ref="I46">_xlfn.IFS(A46=1,1400000,A46=5,1725000,A46=12,2000000,A46=2,1225000,A46=20,1150000,A46=16,1150000,A46=9,1000000,A46=17,800000,A46=7,925000,A46=14,800000,A46=18,900000,A46=19,900000,A46=4,700000,A46=6,700000,A46=13,800000,A46=15,800000,A46=3,600000,A46=8,600000,A46=10,500000,A46=11,550000)</f>
        <v>800000</v>
      </c>
      <c r="J46" s="170">
        <f t="shared" si="4"/>
        <v>7721500</v>
      </c>
      <c r="K46" s="175">
        <f>IF(Comparaison!$D46&lt;=50000,0,1)</f>
        <v>1</v>
      </c>
      <c r="M46" s="173">
        <v>19</v>
      </c>
      <c r="N46" s="167" t="s">
        <v>75</v>
      </c>
      <c r="O46" s="167" t="str" cm="1">
        <f t="array" ref="O46">_xlfn.IFS(M46&lt;=11,"Espagne",M46&lt;=17,"Maroc",M46&lt;=20,"Portugal")</f>
        <v>Portugal</v>
      </c>
      <c r="P46" s="168" cm="1">
        <f t="array" ref="P46">_xlfn.IFS(M46=1,85000,M46=5,105000,M46=12,115000,M46=2,66975,M46=20,64600,M46=16,63050,M46=9,55872,M46=17,59800,M46=7,49036,M46=14,44296,M46=18,47000,M46=19,47595,M46=4,37260,M46=6,40608,M46=13,44135,M46=15,41850,M46=3,30576,M46=8,32870,M46=10,26100,M46=11,28796)</f>
        <v>47595</v>
      </c>
      <c r="Q46" s="169" cm="1">
        <f t="array" ref="Q46">_xlfn.IFS(N46="A",22.5,N46="B",20,N46="C",17.5,N46="D",15,N46="E",12.5,N46="F",10,N46="G",7.5,N46="H",5,N46="I",2.5,N46="J",0)</f>
        <v>7.5</v>
      </c>
      <c r="R46" s="169" cm="1">
        <f t="array" ref="R46">_xlfn.IFS(O46="Espagne",175,O46="Maroc",135,O46="Portugal",140)</f>
        <v>140</v>
      </c>
      <c r="S46" s="170">
        <f t="shared" si="5"/>
        <v>147.5</v>
      </c>
      <c r="T46" s="170">
        <f t="shared" si="6"/>
        <v>7020262.5</v>
      </c>
      <c r="U46" s="170" cm="1">
        <f t="array" ref="U46">_xlfn.IFS(M46=1,1400000,M46=5,1725000,M46=12,2000000,M46=2,1225000,M46=20,1150000,M46=16,1150000,M46=9,1000000,M46=17,800000,M46=7,925000,M46=14,800000,M46=18,900000,M46=19,900000,M46=4,700000,M46=6,700000,M46=13,800000,M46=15,800000,M46=3,600000,M46=8,600000,M46=10,500000,M46=11,550000)</f>
        <v>900000</v>
      </c>
      <c r="V46" s="180" cm="1">
        <f t="array" ref="V46">_xlfn.IFS(M46=1,1.25%,M46=5,1.25%,M46=12,1.5%,M46=2,2.25%,M46=20,1.75%,M46=16,1.5%,M46=9,2.25%,M46=17,1.25%,M46=7,1.75%,M46=14,2%,M46=18,1.75%,M46=19,1.75%,M46=4,2%,M46=6,2.25%,M46=13,1.5%,M46=15,2%,M46=3,2.25%,M46=8,1.5%,M46=10,1.75%,M46=11,2%)</f>
        <v>1.7500000000000002E-2</v>
      </c>
      <c r="W46" s="170">
        <f>Comparaison!$V46*Comparaison!$S46*Comparaison!$P46</f>
        <v>122854.59375000001</v>
      </c>
      <c r="X46" s="170">
        <f>T46-Comparaison!$U46-Comparaison!$W46</f>
        <v>5997407.90625</v>
      </c>
      <c r="Y46" s="175">
        <f>IF(Comparaison!$P46&lt;=50000,0,1)</f>
        <v>0</v>
      </c>
    </row>
    <row r="47" spans="1:25">
      <c r="A47" s="172">
        <v>7</v>
      </c>
      <c r="B47" s="162" t="s">
        <v>76</v>
      </c>
      <c r="C47" s="162" t="str" cm="1">
        <f t="array" ref="C47">_xlfn.IFS(A47&lt;=11,"Espagne",A47&lt;=17,"Maroc",A47&lt;=20,"Portugal")</f>
        <v>Espagne</v>
      </c>
      <c r="D47" s="163" cm="1">
        <f t="array" ref="D47">_xlfn.IFS(A47=1,85000,A47=5,105000,A47=12,115000,A47=2,66975,A47=20,64600,A47=16,63050,A47=9,55872,A47=17,59800,A47=7,49036,A47=14,44296,A47=18,47000,A47=19,47595,A47=4,37260,A47=6,40608,A47=13,44135,A47=15,41850,A47=3,30576,A47=8,32870,A47=10,26100,A47=11,28796)</f>
        <v>49036</v>
      </c>
      <c r="E47" s="169" cm="1">
        <f t="array" ref="E47">_xlfn.IFS(B47="A",22.5,B47="B",20,B47="C",17.5,B47="D",15,B47="E",12.5,B47="F",10,B47="G",7.5,B47="H",5,B47="I",2.5,B47="J",0)</f>
        <v>5</v>
      </c>
      <c r="F47" s="169" cm="1">
        <f t="array" ref="F47">_xlfn.IFS(C47="Espagne",175,C47="Maroc",135,C47="Portugal",140)</f>
        <v>175</v>
      </c>
      <c r="G47" s="165">
        <f t="shared" si="2"/>
        <v>180</v>
      </c>
      <c r="H47" s="165">
        <f t="shared" si="3"/>
        <v>8826480</v>
      </c>
      <c r="I47" s="166" cm="1">
        <f t="array" ref="I47">_xlfn.IFS(A47=1,1400000,A47=5,1725000,A47=12,2000000,A47=2,1225000,A47=20,1150000,A47=16,1150000,A47=9,1000000,A47=17,800000,A47=7,925000,A47=14,800000,A47=18,900000,A47=19,900000,A47=4,700000,A47=6,700000,A47=13,800000,A47=15,800000,A47=3,600000,A47=8,600000,A47=10,500000,A47=11,550000)</f>
        <v>925000</v>
      </c>
      <c r="J47" s="165">
        <f t="shared" si="4"/>
        <v>7901480</v>
      </c>
      <c r="K47" s="176">
        <f>IF(Comparaison!$D47&lt;=50000,0,1)</f>
        <v>0</v>
      </c>
      <c r="M47" s="172">
        <v>4</v>
      </c>
      <c r="N47" s="162" t="s">
        <v>76</v>
      </c>
      <c r="O47" s="162" t="str" cm="1">
        <f t="array" ref="O47">_xlfn.IFS(M47&lt;=11,"Espagne",M47&lt;=17,"Maroc",M47&lt;=20,"Portugal")</f>
        <v>Espagne</v>
      </c>
      <c r="P47" s="163" cm="1">
        <f t="array" ref="P47">_xlfn.IFS(M47=1,85000,M47=5,105000,M47=12,115000,M47=2,66975,M47=20,64600,M47=16,63050,M47=9,55872,M47=17,59800,M47=7,49036,M47=14,44296,M47=18,47000,M47=19,47595,M47=4,37260,M47=6,40608,M47=13,44135,M47=15,41850,M47=3,30576,M47=8,32870,M47=10,26100,M47=11,28796)</f>
        <v>37260</v>
      </c>
      <c r="Q47" s="169" cm="1">
        <f t="array" ref="Q47">_xlfn.IFS(N47="A",22.5,N47="B",20,N47="C",17.5,N47="D",15,N47="E",12.5,N47="F",10,N47="G",7.5,N47="H",5,N47="I",2.5,N47="J",0)</f>
        <v>5</v>
      </c>
      <c r="R47" s="169" cm="1">
        <f t="array" ref="R47">_xlfn.IFS(O47="Espagne",175,O47="Maroc",135,O47="Portugal",140)</f>
        <v>175</v>
      </c>
      <c r="S47" s="165">
        <f t="shared" si="5"/>
        <v>180</v>
      </c>
      <c r="T47" s="165">
        <f t="shared" si="6"/>
        <v>6706800</v>
      </c>
      <c r="U47" s="165" cm="1">
        <f t="array" ref="U47">_xlfn.IFS(M47=1,1400000,M47=5,1725000,M47=12,2000000,M47=2,1225000,M47=20,1150000,M47=16,1150000,M47=9,1000000,M47=17,800000,M47=7,925000,M47=14,800000,M47=18,900000,M47=19,900000,M47=4,700000,M47=6,700000,M47=13,800000,M47=15,800000,M47=3,600000,M47=8,600000,M47=10,500000,M47=11,550000)</f>
        <v>700000</v>
      </c>
      <c r="V47" s="179" cm="1">
        <f t="array" ref="V47">_xlfn.IFS(M47=1,1.25%,M47=5,1.25%,M47=12,1.5%,M47=2,2.25%,M47=20,1.75%,M47=16,1.5%,M47=9,2.25%,M47=17,1.25%,M47=7,1.75%,M47=14,2%,M47=18,1.75%,M47=19,1.75%,M47=4,2%,M47=6,2.25%,M47=13,1.5%,M47=15,2%,M47=3,2.25%,M47=8,1.5%,M47=10,1.75%,M47=11,2%)</f>
        <v>0.02</v>
      </c>
      <c r="W47" s="165">
        <f>Comparaison!$V47*Comparaison!$S47*Comparaison!$P47</f>
        <v>134136</v>
      </c>
      <c r="X47" s="165">
        <f>T47-Comparaison!$U47-Comparaison!$W47</f>
        <v>5872664</v>
      </c>
      <c r="Y47" s="176">
        <f>IF(Comparaison!$P47&lt;=50000,0,1)</f>
        <v>0</v>
      </c>
    </row>
    <row r="48" spans="1:25">
      <c r="A48" s="173">
        <v>7</v>
      </c>
      <c r="B48" s="167" t="s">
        <v>76</v>
      </c>
      <c r="C48" s="167" t="str" cm="1">
        <f t="array" ref="C48">_xlfn.IFS(A48&lt;=11,"Espagne",A48&lt;=17,"Maroc",A48&lt;=20,"Portugal")</f>
        <v>Espagne</v>
      </c>
      <c r="D48" s="168" cm="1">
        <f t="array" ref="D48">_xlfn.IFS(A48=1,85000,A48=5,105000,A48=12,115000,A48=2,66975,A48=20,64600,A48=16,63050,A48=9,55872,A48=17,59800,A48=7,49036,A48=14,44296,A48=18,47000,A48=19,47595,A48=4,37260,A48=6,40608,A48=13,44135,A48=15,41850,A48=3,30576,A48=8,32870,A48=10,26100,A48=11,28796)</f>
        <v>49036</v>
      </c>
      <c r="E48" s="169" cm="1">
        <f t="array" ref="E48">_xlfn.IFS(B48="A",22.5,B48="B",20,B48="C",17.5,B48="D",15,B48="E",12.5,B48="F",10,B48="G",7.5,B48="H",5,B48="I",2.5,B48="J",0)</f>
        <v>5</v>
      </c>
      <c r="F48" s="169" cm="1">
        <f t="array" ref="F48">_xlfn.IFS(C48="Espagne",175,C48="Maroc",135,C48="Portugal",140)</f>
        <v>175</v>
      </c>
      <c r="G48" s="170">
        <f t="shared" si="2"/>
        <v>180</v>
      </c>
      <c r="H48" s="170">
        <f t="shared" si="3"/>
        <v>8826480</v>
      </c>
      <c r="I48" s="171" cm="1">
        <f t="array" ref="I48">_xlfn.IFS(A48=1,1400000,A48=5,1725000,A48=12,2000000,A48=2,1225000,A48=20,1150000,A48=16,1150000,A48=9,1000000,A48=17,800000,A48=7,925000,A48=14,800000,A48=18,900000,A48=19,900000,A48=4,700000,A48=6,700000,A48=13,800000,A48=15,800000,A48=3,600000,A48=8,600000,A48=10,500000,A48=11,550000)</f>
        <v>925000</v>
      </c>
      <c r="J48" s="170">
        <f t="shared" si="4"/>
        <v>7901480</v>
      </c>
      <c r="K48" s="175">
        <f>IF(Comparaison!$D48&lt;=50000,0,1)</f>
        <v>0</v>
      </c>
      <c r="M48" s="173">
        <v>6</v>
      </c>
      <c r="N48" s="167" t="s">
        <v>76</v>
      </c>
      <c r="O48" s="167" t="str" cm="1">
        <f t="array" ref="O48">_xlfn.IFS(M48&lt;=11,"Espagne",M48&lt;=17,"Maroc",M48&lt;=20,"Portugal")</f>
        <v>Espagne</v>
      </c>
      <c r="P48" s="168" cm="1">
        <f t="array" ref="P48">_xlfn.IFS(M48=1,85000,M48=5,105000,M48=12,115000,M48=2,66975,M48=20,64600,M48=16,63050,M48=9,55872,M48=17,59800,M48=7,49036,M48=14,44296,M48=18,47000,M48=19,47595,M48=4,37260,M48=6,40608,M48=13,44135,M48=15,41850,M48=3,30576,M48=8,32870,M48=10,26100,M48=11,28796)</f>
        <v>40608</v>
      </c>
      <c r="Q48" s="169" cm="1">
        <f t="array" ref="Q48">_xlfn.IFS(N48="A",22.5,N48="B",20,N48="C",17.5,N48="D",15,N48="E",12.5,N48="F",10,N48="G",7.5,N48="H",5,N48="I",2.5,N48="J",0)</f>
        <v>5</v>
      </c>
      <c r="R48" s="169" cm="1">
        <f t="array" ref="R48">_xlfn.IFS(O48="Espagne",175,O48="Maroc",135,O48="Portugal",140)</f>
        <v>175</v>
      </c>
      <c r="S48" s="170">
        <f t="shared" si="5"/>
        <v>180</v>
      </c>
      <c r="T48" s="170">
        <f t="shared" si="6"/>
        <v>7309440</v>
      </c>
      <c r="U48" s="170" cm="1">
        <f t="array" ref="U48">_xlfn.IFS(M48=1,1400000,M48=5,1725000,M48=12,2000000,M48=2,1225000,M48=20,1150000,M48=16,1150000,M48=9,1000000,M48=17,800000,M48=7,925000,M48=14,800000,M48=18,900000,M48=19,900000,M48=4,700000,M48=6,700000,M48=13,800000,M48=15,800000,M48=3,600000,M48=8,600000,M48=10,500000,M48=11,550000)</f>
        <v>700000</v>
      </c>
      <c r="V48" s="180" cm="1">
        <f t="array" ref="V48">_xlfn.IFS(M48=1,1.25%,M48=5,1.25%,M48=12,1.5%,M48=2,2.25%,M48=20,1.75%,M48=16,1.5%,M48=9,2.25%,M48=17,1.25%,M48=7,1.75%,M48=14,2%,M48=18,1.75%,M48=19,1.75%,M48=4,2%,M48=6,2.25%,M48=13,1.5%,M48=15,2%,M48=3,2.25%,M48=8,1.5%,M48=10,1.75%,M48=11,2%)</f>
        <v>2.2499999999999999E-2</v>
      </c>
      <c r="W48" s="170">
        <f>Comparaison!$V48*Comparaison!$S48*Comparaison!$P48</f>
        <v>164462.39999999999</v>
      </c>
      <c r="X48" s="170">
        <f>T48-Comparaison!$U48-Comparaison!$W48</f>
        <v>6444977.5999999996</v>
      </c>
      <c r="Y48" s="175">
        <f>IF(Comparaison!$P48&lt;=50000,0,1)</f>
        <v>0</v>
      </c>
    </row>
    <row r="49" spans="1:25">
      <c r="A49" s="172">
        <v>14</v>
      </c>
      <c r="B49" s="162" t="s">
        <v>76</v>
      </c>
      <c r="C49" s="162" t="str" cm="1">
        <f t="array" ref="C49">_xlfn.IFS(A49&lt;=11,"Espagne",A49&lt;=17,"Maroc",A49&lt;=20,"Portugal")</f>
        <v>Maroc</v>
      </c>
      <c r="D49" s="163" cm="1">
        <f t="array" ref="D49">_xlfn.IFS(A49=1,85000,A49=5,105000,A49=12,115000,A49=2,66975,A49=20,64600,A49=16,63050,A49=9,55872,A49=17,59800,A49=7,49036,A49=14,44296,A49=18,47000,A49=19,47595,A49=4,37260,A49=6,40608,A49=13,44135,A49=15,41850,A49=3,30576,A49=8,32870,A49=10,26100,A49=11,28796)</f>
        <v>44296</v>
      </c>
      <c r="E49" s="169" cm="1">
        <f t="array" ref="E49">_xlfn.IFS(B49="A",22.5,B49="B",20,B49="C",17.5,B49="D",15,B49="E",12.5,B49="F",10,B49="G",7.5,B49="H",5,B49="I",2.5,B49="J",0)</f>
        <v>5</v>
      </c>
      <c r="F49" s="169" cm="1">
        <f t="array" ref="F49">_xlfn.IFS(C49="Espagne",175,C49="Maroc",135,C49="Portugal",140)</f>
        <v>135</v>
      </c>
      <c r="G49" s="165">
        <f t="shared" si="2"/>
        <v>140</v>
      </c>
      <c r="H49" s="165">
        <f t="shared" si="3"/>
        <v>6201440</v>
      </c>
      <c r="I49" s="166" cm="1">
        <f t="array" ref="I49">_xlfn.IFS(A49=1,1400000,A49=5,1725000,A49=12,2000000,A49=2,1225000,A49=20,1150000,A49=16,1150000,A49=9,1000000,A49=17,800000,A49=7,925000,A49=14,800000,A49=18,900000,A49=19,900000,A49=4,700000,A49=6,700000,A49=13,800000,A49=15,800000,A49=3,600000,A49=8,600000,A49=10,500000,A49=11,550000)</f>
        <v>800000</v>
      </c>
      <c r="J49" s="165">
        <f t="shared" si="4"/>
        <v>5401440</v>
      </c>
      <c r="K49" s="176">
        <f>IF(Comparaison!$D49&lt;=50000,0,1)</f>
        <v>0</v>
      </c>
      <c r="M49" s="172">
        <v>6</v>
      </c>
      <c r="N49" s="162" t="s">
        <v>76</v>
      </c>
      <c r="O49" s="162" t="str" cm="1">
        <f t="array" ref="O49">_xlfn.IFS(M49&lt;=11,"Espagne",M49&lt;=17,"Maroc",M49&lt;=20,"Portugal")</f>
        <v>Espagne</v>
      </c>
      <c r="P49" s="163" cm="1">
        <f t="array" ref="P49">_xlfn.IFS(M49=1,85000,M49=5,105000,M49=12,115000,M49=2,66975,M49=20,64600,M49=16,63050,M49=9,55872,M49=17,59800,M49=7,49036,M49=14,44296,M49=18,47000,M49=19,47595,M49=4,37260,M49=6,40608,M49=13,44135,M49=15,41850,M49=3,30576,M49=8,32870,M49=10,26100,M49=11,28796)</f>
        <v>40608</v>
      </c>
      <c r="Q49" s="169" cm="1">
        <f t="array" ref="Q49">_xlfn.IFS(N49="A",22.5,N49="B",20,N49="C",17.5,N49="D",15,N49="E",12.5,N49="F",10,N49="G",7.5,N49="H",5,N49="I",2.5,N49="J",0)</f>
        <v>5</v>
      </c>
      <c r="R49" s="169" cm="1">
        <f t="array" ref="R49">_xlfn.IFS(O49="Espagne",175,O49="Maroc",135,O49="Portugal",140)</f>
        <v>175</v>
      </c>
      <c r="S49" s="165">
        <f t="shared" si="5"/>
        <v>180</v>
      </c>
      <c r="T49" s="165">
        <f t="shared" si="6"/>
        <v>7309440</v>
      </c>
      <c r="U49" s="165" cm="1">
        <f t="array" ref="U49">_xlfn.IFS(M49=1,1400000,M49=5,1725000,M49=12,2000000,M49=2,1225000,M49=20,1150000,M49=16,1150000,M49=9,1000000,M49=17,800000,M49=7,925000,M49=14,800000,M49=18,900000,M49=19,900000,M49=4,700000,M49=6,700000,M49=13,800000,M49=15,800000,M49=3,600000,M49=8,600000,M49=10,500000,M49=11,550000)</f>
        <v>700000</v>
      </c>
      <c r="V49" s="179" cm="1">
        <f t="array" ref="V49">_xlfn.IFS(M49=1,1.25%,M49=5,1.25%,M49=12,1.5%,M49=2,2.25%,M49=20,1.75%,M49=16,1.5%,M49=9,2.25%,M49=17,1.25%,M49=7,1.75%,M49=14,2%,M49=18,1.75%,M49=19,1.75%,M49=4,2%,M49=6,2.25%,M49=13,1.5%,M49=15,2%,M49=3,2.25%,M49=8,1.5%,M49=10,1.75%,M49=11,2%)</f>
        <v>2.2499999999999999E-2</v>
      </c>
      <c r="W49" s="165">
        <f>Comparaison!$V49*Comparaison!$S49*Comparaison!$P49</f>
        <v>164462.39999999999</v>
      </c>
      <c r="X49" s="165">
        <f>T49-Comparaison!$U49-Comparaison!$W49</f>
        <v>6444977.5999999996</v>
      </c>
      <c r="Y49" s="176">
        <f>IF(Comparaison!$P49&lt;=50000,0,1)</f>
        <v>0</v>
      </c>
    </row>
    <row r="50" spans="1:25">
      <c r="A50" s="173">
        <v>18</v>
      </c>
      <c r="B50" s="167" t="s">
        <v>76</v>
      </c>
      <c r="C50" s="167" t="str" cm="1">
        <f t="array" ref="C50">_xlfn.IFS(A50&lt;=11,"Espagne",A50&lt;=17,"Maroc",A50&lt;=20,"Portugal")</f>
        <v>Portugal</v>
      </c>
      <c r="D50" s="168" cm="1">
        <f t="array" ref="D50">_xlfn.IFS(A50=1,85000,A50=5,105000,A50=12,115000,A50=2,66975,A50=20,64600,A50=16,63050,A50=9,55872,A50=17,59800,A50=7,49036,A50=14,44296,A50=18,47000,A50=19,47595,A50=4,37260,A50=6,40608,A50=13,44135,A50=15,41850,A50=3,30576,A50=8,32870,A50=10,26100,A50=11,28796)</f>
        <v>47000</v>
      </c>
      <c r="E50" s="169" cm="1">
        <f t="array" ref="E50">_xlfn.IFS(B50="A",22.5,B50="B",20,B50="C",17.5,B50="D",15,B50="E",12.5,B50="F",10,B50="G",7.5,B50="H",5,B50="I",2.5,B50="J",0)</f>
        <v>5</v>
      </c>
      <c r="F50" s="169" cm="1">
        <f t="array" ref="F50">_xlfn.IFS(C50="Espagne",175,C50="Maroc",135,C50="Portugal",140)</f>
        <v>140</v>
      </c>
      <c r="G50" s="170">
        <f t="shared" si="2"/>
        <v>145</v>
      </c>
      <c r="H50" s="170">
        <f t="shared" si="3"/>
        <v>6815000</v>
      </c>
      <c r="I50" s="171" cm="1">
        <f t="array" ref="I50">_xlfn.IFS(A50=1,1400000,A50=5,1725000,A50=12,2000000,A50=2,1225000,A50=20,1150000,A50=16,1150000,A50=9,1000000,A50=17,800000,A50=7,925000,A50=14,800000,A50=18,900000,A50=19,900000,A50=4,700000,A50=6,700000,A50=13,800000,A50=15,800000,A50=3,600000,A50=8,600000,A50=10,500000,A50=11,550000)</f>
        <v>900000</v>
      </c>
      <c r="J50" s="170">
        <f t="shared" si="4"/>
        <v>5915000</v>
      </c>
      <c r="K50" s="175">
        <f>IF(Comparaison!$D50&lt;=50000,0,1)</f>
        <v>0</v>
      </c>
      <c r="M50" s="173">
        <v>7</v>
      </c>
      <c r="N50" s="167" t="s">
        <v>76</v>
      </c>
      <c r="O50" s="167" t="str" cm="1">
        <f t="array" ref="O50">_xlfn.IFS(M50&lt;=11,"Espagne",M50&lt;=17,"Maroc",M50&lt;=20,"Portugal")</f>
        <v>Espagne</v>
      </c>
      <c r="P50" s="168" cm="1">
        <f t="array" ref="P50">_xlfn.IFS(M50=1,85000,M50=5,105000,M50=12,115000,M50=2,66975,M50=20,64600,M50=16,63050,M50=9,55872,M50=17,59800,M50=7,49036,M50=14,44296,M50=18,47000,M50=19,47595,M50=4,37260,M50=6,40608,M50=13,44135,M50=15,41850,M50=3,30576,M50=8,32870,M50=10,26100,M50=11,28796)</f>
        <v>49036</v>
      </c>
      <c r="Q50" s="169" cm="1">
        <f t="array" ref="Q50">_xlfn.IFS(N50="A",22.5,N50="B",20,N50="C",17.5,N50="D",15,N50="E",12.5,N50="F",10,N50="G",7.5,N50="H",5,N50="I",2.5,N50="J",0)</f>
        <v>5</v>
      </c>
      <c r="R50" s="169" cm="1">
        <f t="array" ref="R50">_xlfn.IFS(O50="Espagne",175,O50="Maroc",135,O50="Portugal",140)</f>
        <v>175</v>
      </c>
      <c r="S50" s="170">
        <f t="shared" si="5"/>
        <v>180</v>
      </c>
      <c r="T50" s="170">
        <f t="shared" si="6"/>
        <v>8826480</v>
      </c>
      <c r="U50" s="170" cm="1">
        <f t="array" ref="U50">_xlfn.IFS(M50=1,1400000,M50=5,1725000,M50=12,2000000,M50=2,1225000,M50=20,1150000,M50=16,1150000,M50=9,1000000,M50=17,800000,M50=7,925000,M50=14,800000,M50=18,900000,M50=19,900000,M50=4,700000,M50=6,700000,M50=13,800000,M50=15,800000,M50=3,600000,M50=8,600000,M50=10,500000,M50=11,550000)</f>
        <v>925000</v>
      </c>
      <c r="V50" s="180" cm="1">
        <f t="array" ref="V50">_xlfn.IFS(M50=1,1.25%,M50=5,1.25%,M50=12,1.5%,M50=2,2.25%,M50=20,1.75%,M50=16,1.5%,M50=9,2.25%,M50=17,1.25%,M50=7,1.75%,M50=14,2%,M50=18,1.75%,M50=19,1.75%,M50=4,2%,M50=6,2.25%,M50=13,1.5%,M50=15,2%,M50=3,2.25%,M50=8,1.5%,M50=10,1.75%,M50=11,2%)</f>
        <v>1.7500000000000002E-2</v>
      </c>
      <c r="W50" s="170">
        <f>Comparaison!$V50*Comparaison!$S50*Comparaison!$P50</f>
        <v>154463.40000000002</v>
      </c>
      <c r="X50" s="170">
        <f>T50-Comparaison!$U50-Comparaison!$W50</f>
        <v>7747016.5999999996</v>
      </c>
      <c r="Y50" s="175">
        <f>IF(Comparaison!$P50&lt;=50000,0,1)</f>
        <v>0</v>
      </c>
    </row>
    <row r="51" spans="1:25">
      <c r="A51" s="172">
        <v>19</v>
      </c>
      <c r="B51" s="162" t="s">
        <v>76</v>
      </c>
      <c r="C51" s="162" t="str" cm="1">
        <f t="array" ref="C51">_xlfn.IFS(A51&lt;=11,"Espagne",A51&lt;=17,"Maroc",A51&lt;=20,"Portugal")</f>
        <v>Portugal</v>
      </c>
      <c r="D51" s="163" cm="1">
        <f t="array" ref="D51">_xlfn.IFS(A51=1,85000,A51=5,105000,A51=12,115000,A51=2,66975,A51=20,64600,A51=16,63050,A51=9,55872,A51=17,59800,A51=7,49036,A51=14,44296,A51=18,47000,A51=19,47595,A51=4,37260,A51=6,40608,A51=13,44135,A51=15,41850,A51=3,30576,A51=8,32870,A51=10,26100,A51=11,28796)</f>
        <v>47595</v>
      </c>
      <c r="E51" s="169" cm="1">
        <f t="array" ref="E51">_xlfn.IFS(B51="A",22.5,B51="B",20,B51="C",17.5,B51="D",15,B51="E",12.5,B51="F",10,B51="G",7.5,B51="H",5,B51="I",2.5,B51="J",0)</f>
        <v>5</v>
      </c>
      <c r="F51" s="169" cm="1">
        <f t="array" ref="F51">_xlfn.IFS(C51="Espagne",175,C51="Maroc",135,C51="Portugal",140)</f>
        <v>140</v>
      </c>
      <c r="G51" s="165">
        <f t="shared" si="2"/>
        <v>145</v>
      </c>
      <c r="H51" s="165">
        <f t="shared" si="3"/>
        <v>6901275</v>
      </c>
      <c r="I51" s="166" cm="1">
        <f t="array" ref="I51">_xlfn.IFS(A51=1,1400000,A51=5,1725000,A51=12,2000000,A51=2,1225000,A51=20,1150000,A51=16,1150000,A51=9,1000000,A51=17,800000,A51=7,925000,A51=14,800000,A51=18,900000,A51=19,900000,A51=4,700000,A51=6,700000,A51=13,800000,A51=15,800000,A51=3,600000,A51=8,600000,A51=10,500000,A51=11,550000)</f>
        <v>900000</v>
      </c>
      <c r="J51" s="165">
        <f t="shared" si="4"/>
        <v>6001275</v>
      </c>
      <c r="K51" s="176">
        <f>IF(Comparaison!$D51&lt;=50000,0,1)</f>
        <v>0</v>
      </c>
      <c r="M51" s="172">
        <v>7</v>
      </c>
      <c r="N51" s="162" t="s">
        <v>76</v>
      </c>
      <c r="O51" s="162" t="str" cm="1">
        <f t="array" ref="O51">_xlfn.IFS(M51&lt;=11,"Espagne",M51&lt;=17,"Maroc",M51&lt;=20,"Portugal")</f>
        <v>Espagne</v>
      </c>
      <c r="P51" s="163" cm="1">
        <f t="array" ref="P51">_xlfn.IFS(M51=1,85000,M51=5,105000,M51=12,115000,M51=2,66975,M51=20,64600,M51=16,63050,M51=9,55872,M51=17,59800,M51=7,49036,M51=14,44296,M51=18,47000,M51=19,47595,M51=4,37260,M51=6,40608,M51=13,44135,M51=15,41850,M51=3,30576,M51=8,32870,M51=10,26100,M51=11,28796)</f>
        <v>49036</v>
      </c>
      <c r="Q51" s="169" cm="1">
        <f t="array" ref="Q51">_xlfn.IFS(N51="A",22.5,N51="B",20,N51="C",17.5,N51="D",15,N51="E",12.5,N51="F",10,N51="G",7.5,N51="H",5,N51="I",2.5,N51="J",0)</f>
        <v>5</v>
      </c>
      <c r="R51" s="169" cm="1">
        <f t="array" ref="R51">_xlfn.IFS(O51="Espagne",175,O51="Maroc",135,O51="Portugal",140)</f>
        <v>175</v>
      </c>
      <c r="S51" s="165">
        <f t="shared" si="5"/>
        <v>180</v>
      </c>
      <c r="T51" s="165">
        <f t="shared" si="6"/>
        <v>8826480</v>
      </c>
      <c r="U51" s="165" cm="1">
        <f t="array" ref="U51">_xlfn.IFS(M51=1,1400000,M51=5,1725000,M51=12,2000000,M51=2,1225000,M51=20,1150000,M51=16,1150000,M51=9,1000000,M51=17,800000,M51=7,925000,M51=14,800000,M51=18,900000,M51=19,900000,M51=4,700000,M51=6,700000,M51=13,800000,M51=15,800000,M51=3,600000,M51=8,600000,M51=10,500000,M51=11,550000)</f>
        <v>925000</v>
      </c>
      <c r="V51" s="179" cm="1">
        <f t="array" ref="V51">_xlfn.IFS(M51=1,1.25%,M51=5,1.25%,M51=12,1.5%,M51=2,2.25%,M51=20,1.75%,M51=16,1.5%,M51=9,2.25%,M51=17,1.25%,M51=7,1.75%,M51=14,2%,M51=18,1.75%,M51=19,1.75%,M51=4,2%,M51=6,2.25%,M51=13,1.5%,M51=15,2%,M51=3,2.25%,M51=8,1.5%,M51=10,1.75%,M51=11,2%)</f>
        <v>1.7500000000000002E-2</v>
      </c>
      <c r="W51" s="165">
        <f>Comparaison!$V51*Comparaison!$S51*Comparaison!$P51</f>
        <v>154463.40000000002</v>
      </c>
      <c r="X51" s="165">
        <f>T51-Comparaison!$U51-Comparaison!$W51</f>
        <v>7747016.5999999996</v>
      </c>
      <c r="Y51" s="176">
        <f>IF(Comparaison!$P51&lt;=50000,0,1)</f>
        <v>0</v>
      </c>
    </row>
    <row r="52" spans="1:25">
      <c r="A52" s="173">
        <v>19</v>
      </c>
      <c r="B52" s="167" t="s">
        <v>76</v>
      </c>
      <c r="C52" s="167" t="str" cm="1">
        <f t="array" ref="C52">_xlfn.IFS(A52&lt;=11,"Espagne",A52&lt;=17,"Maroc",A52&lt;=20,"Portugal")</f>
        <v>Portugal</v>
      </c>
      <c r="D52" s="168" cm="1">
        <f t="array" ref="D52">_xlfn.IFS(A52=1,85000,A52=5,105000,A52=12,115000,A52=2,66975,A52=20,64600,A52=16,63050,A52=9,55872,A52=17,59800,A52=7,49036,A52=14,44296,A52=18,47000,A52=19,47595,A52=4,37260,A52=6,40608,A52=13,44135,A52=15,41850,A52=3,30576,A52=8,32870,A52=10,26100,A52=11,28796)</f>
        <v>47595</v>
      </c>
      <c r="E52" s="169" cm="1">
        <f t="array" ref="E52">_xlfn.IFS(B52="A",22.5,B52="B",20,B52="C",17.5,B52="D",15,B52="E",12.5,B52="F",10,B52="G",7.5,B52="H",5,B52="I",2.5,B52="J",0)</f>
        <v>5</v>
      </c>
      <c r="F52" s="169" cm="1">
        <f t="array" ref="F52">_xlfn.IFS(C52="Espagne",175,C52="Maroc",135,C52="Portugal",140)</f>
        <v>140</v>
      </c>
      <c r="G52" s="170">
        <f t="shared" si="2"/>
        <v>145</v>
      </c>
      <c r="H52" s="170">
        <f t="shared" si="3"/>
        <v>6901275</v>
      </c>
      <c r="I52" s="171" cm="1">
        <f t="array" ref="I52">_xlfn.IFS(A52=1,1400000,A52=5,1725000,A52=12,2000000,A52=2,1225000,A52=20,1150000,A52=16,1150000,A52=9,1000000,A52=17,800000,A52=7,925000,A52=14,800000,A52=18,900000,A52=19,900000,A52=4,700000,A52=6,700000,A52=13,800000,A52=15,800000,A52=3,600000,A52=8,600000,A52=10,500000,A52=11,550000)</f>
        <v>900000</v>
      </c>
      <c r="J52" s="170">
        <f t="shared" si="4"/>
        <v>6001275</v>
      </c>
      <c r="K52" s="175">
        <f>IF(Comparaison!$D52&lt;=50000,0,1)</f>
        <v>0</v>
      </c>
      <c r="M52" s="173">
        <v>18</v>
      </c>
      <c r="N52" s="167" t="s">
        <v>76</v>
      </c>
      <c r="O52" s="167" t="str" cm="1">
        <f t="array" ref="O52">_xlfn.IFS(M52&lt;=11,"Espagne",M52&lt;=17,"Maroc",M52&lt;=20,"Portugal")</f>
        <v>Portugal</v>
      </c>
      <c r="P52" s="168" cm="1">
        <f t="array" ref="P52">_xlfn.IFS(M52=1,85000,M52=5,105000,M52=12,115000,M52=2,66975,M52=20,64600,M52=16,63050,M52=9,55872,M52=17,59800,M52=7,49036,M52=14,44296,M52=18,47000,M52=19,47595,M52=4,37260,M52=6,40608,M52=13,44135,M52=15,41850,M52=3,30576,M52=8,32870,M52=10,26100,M52=11,28796)</f>
        <v>47000</v>
      </c>
      <c r="Q52" s="169" cm="1">
        <f t="array" ref="Q52">_xlfn.IFS(N52="A",22.5,N52="B",20,N52="C",17.5,N52="D",15,N52="E",12.5,N52="F",10,N52="G",7.5,N52="H",5,N52="I",2.5,N52="J",0)</f>
        <v>5</v>
      </c>
      <c r="R52" s="169" cm="1">
        <f t="array" ref="R52">_xlfn.IFS(O52="Espagne",175,O52="Maroc",135,O52="Portugal",140)</f>
        <v>140</v>
      </c>
      <c r="S52" s="170">
        <f t="shared" si="5"/>
        <v>145</v>
      </c>
      <c r="T52" s="170">
        <f t="shared" si="6"/>
        <v>6815000</v>
      </c>
      <c r="U52" s="170" cm="1">
        <f t="array" ref="U52">_xlfn.IFS(M52=1,1400000,M52=5,1725000,M52=12,2000000,M52=2,1225000,M52=20,1150000,M52=16,1150000,M52=9,1000000,M52=17,800000,M52=7,925000,M52=14,800000,M52=18,900000,M52=19,900000,M52=4,700000,M52=6,700000,M52=13,800000,M52=15,800000,M52=3,600000,M52=8,600000,M52=10,500000,M52=11,550000)</f>
        <v>900000</v>
      </c>
      <c r="V52" s="180" cm="1">
        <f t="array" ref="V52">_xlfn.IFS(M52=1,1.25%,M52=5,1.25%,M52=12,1.5%,M52=2,2.25%,M52=20,1.75%,M52=16,1.5%,M52=9,2.25%,M52=17,1.25%,M52=7,1.75%,M52=14,2%,M52=18,1.75%,M52=19,1.75%,M52=4,2%,M52=6,2.25%,M52=13,1.5%,M52=15,2%,M52=3,2.25%,M52=8,1.5%,M52=10,1.75%,M52=11,2%)</f>
        <v>1.7500000000000002E-2</v>
      </c>
      <c r="W52" s="170">
        <f>Comparaison!$V52*Comparaison!$S52*Comparaison!$P52</f>
        <v>119262.5</v>
      </c>
      <c r="X52" s="170">
        <f>T52-Comparaison!$U52-Comparaison!$W52</f>
        <v>5795737.5</v>
      </c>
      <c r="Y52" s="175">
        <f>IF(Comparaison!$P52&lt;=50000,0,1)</f>
        <v>0</v>
      </c>
    </row>
    <row r="53" spans="1:25">
      <c r="A53" s="172">
        <v>4</v>
      </c>
      <c r="B53" s="162" t="s">
        <v>77</v>
      </c>
      <c r="C53" s="162" t="str" cm="1">
        <f t="array" ref="C53">_xlfn.IFS(A53&lt;=11,"Espagne",A53&lt;=17,"Maroc",A53&lt;=20,"Portugal")</f>
        <v>Espagne</v>
      </c>
      <c r="D53" s="163" cm="1">
        <f t="array" ref="D53">_xlfn.IFS(A53=1,85000,A53=5,105000,A53=12,115000,A53=2,66975,A53=20,64600,A53=16,63050,A53=9,55872,A53=17,59800,A53=7,49036,A53=14,44296,A53=18,47000,A53=19,47595,A53=4,37260,A53=6,40608,A53=13,44135,A53=15,41850,A53=3,30576,A53=8,32870,A53=10,26100,A53=11,28796)</f>
        <v>37260</v>
      </c>
      <c r="E53" s="169" cm="1">
        <f t="array" ref="E53">_xlfn.IFS(B53="A",22.5,B53="B",20,B53="C",17.5,B53="D",15,B53="E",12.5,B53="F",10,B53="G",7.5,B53="H",5,B53="I",2.5,B53="J",0)</f>
        <v>2.5</v>
      </c>
      <c r="F53" s="169" cm="1">
        <f t="array" ref="F53">_xlfn.IFS(C53="Espagne",175,C53="Maroc",135,C53="Portugal",140)</f>
        <v>175</v>
      </c>
      <c r="G53" s="165">
        <f t="shared" si="2"/>
        <v>177.5</v>
      </c>
      <c r="H53" s="165">
        <f t="shared" si="3"/>
        <v>6613650</v>
      </c>
      <c r="I53" s="166" cm="1">
        <f t="array" ref="I53">_xlfn.IFS(A53=1,1400000,A53=5,1725000,A53=12,2000000,A53=2,1225000,A53=20,1150000,A53=16,1150000,A53=9,1000000,A53=17,800000,A53=7,925000,A53=14,800000,A53=18,900000,A53=19,900000,A53=4,700000,A53=6,700000,A53=13,800000,A53=15,800000,A53=3,600000,A53=8,600000,A53=10,500000,A53=11,550000)</f>
        <v>700000</v>
      </c>
      <c r="J53" s="165">
        <f t="shared" si="4"/>
        <v>5913650</v>
      </c>
      <c r="K53" s="176">
        <f>IF(Comparaison!$D53&lt;=50000,0,1)</f>
        <v>0</v>
      </c>
      <c r="M53" s="172">
        <v>3</v>
      </c>
      <c r="N53" s="162" t="s">
        <v>77</v>
      </c>
      <c r="O53" s="162" t="str" cm="1">
        <f t="array" ref="O53">_xlfn.IFS(M53&lt;=11,"Espagne",M53&lt;=17,"Maroc",M53&lt;=20,"Portugal")</f>
        <v>Espagne</v>
      </c>
      <c r="P53" s="163" cm="1">
        <f t="array" ref="P53">_xlfn.IFS(M53=1,85000,M53=5,105000,M53=12,115000,M53=2,66975,M53=20,64600,M53=16,63050,M53=9,55872,M53=17,59800,M53=7,49036,M53=14,44296,M53=18,47000,M53=19,47595,M53=4,37260,M53=6,40608,M53=13,44135,M53=15,41850,M53=3,30576,M53=8,32870,M53=10,26100,M53=11,28796)</f>
        <v>30576</v>
      </c>
      <c r="Q53" s="169" cm="1">
        <f t="array" ref="Q53">_xlfn.IFS(N53="A",22.5,N53="B",20,N53="C",17.5,N53="D",15,N53="E",12.5,N53="F",10,N53="G",7.5,N53="H",5,N53="I",2.5,N53="J",0)</f>
        <v>2.5</v>
      </c>
      <c r="R53" s="169" cm="1">
        <f t="array" ref="R53">_xlfn.IFS(O53="Espagne",175,O53="Maroc",135,O53="Portugal",140)</f>
        <v>175</v>
      </c>
      <c r="S53" s="165">
        <f t="shared" si="5"/>
        <v>177.5</v>
      </c>
      <c r="T53" s="165">
        <f t="shared" si="6"/>
        <v>5427240</v>
      </c>
      <c r="U53" s="165" cm="1">
        <f t="array" ref="U53">_xlfn.IFS(M53=1,1400000,M53=5,1725000,M53=12,2000000,M53=2,1225000,M53=20,1150000,M53=16,1150000,M53=9,1000000,M53=17,800000,M53=7,925000,M53=14,800000,M53=18,900000,M53=19,900000,M53=4,700000,M53=6,700000,M53=13,800000,M53=15,800000,M53=3,600000,M53=8,600000,M53=10,500000,M53=11,550000)</f>
        <v>600000</v>
      </c>
      <c r="V53" s="179" cm="1">
        <f t="array" ref="V53">_xlfn.IFS(M53=1,1.25%,M53=5,1.25%,M53=12,1.5%,M53=2,2.25%,M53=20,1.75%,M53=16,1.5%,M53=9,2.25%,M53=17,1.25%,M53=7,1.75%,M53=14,2%,M53=18,1.75%,M53=19,1.75%,M53=4,2%,M53=6,2.25%,M53=13,1.5%,M53=15,2%,M53=3,2.25%,M53=8,1.5%,M53=10,1.75%,M53=11,2%)</f>
        <v>2.2499999999999999E-2</v>
      </c>
      <c r="W53" s="165">
        <f>Comparaison!$V53*Comparaison!$S53*Comparaison!$P53</f>
        <v>122112.9</v>
      </c>
      <c r="X53" s="165">
        <f>T53-Comparaison!$U53-Comparaison!$W53</f>
        <v>4705127.0999999996</v>
      </c>
      <c r="Y53" s="176">
        <f>IF(Comparaison!$P53&lt;=50000,0,1)</f>
        <v>0</v>
      </c>
    </row>
    <row r="54" spans="1:25">
      <c r="A54" s="173">
        <v>6</v>
      </c>
      <c r="B54" s="167" t="s">
        <v>77</v>
      </c>
      <c r="C54" s="167" t="str" cm="1">
        <f t="array" ref="C54">_xlfn.IFS(A54&lt;=11,"Espagne",A54&lt;=17,"Maroc",A54&lt;=20,"Portugal")</f>
        <v>Espagne</v>
      </c>
      <c r="D54" s="168" cm="1">
        <f t="array" ref="D54">_xlfn.IFS(A54=1,85000,A54=5,105000,A54=12,115000,A54=2,66975,A54=20,64600,A54=16,63050,A54=9,55872,A54=17,59800,A54=7,49036,A54=14,44296,A54=18,47000,A54=19,47595,A54=4,37260,A54=6,40608,A54=13,44135,A54=15,41850,A54=3,30576,A54=8,32870,A54=10,26100,A54=11,28796)</f>
        <v>40608</v>
      </c>
      <c r="E54" s="169" cm="1">
        <f t="array" ref="E54">_xlfn.IFS(B54="A",22.5,B54="B",20,B54="C",17.5,B54="D",15,B54="E",12.5,B54="F",10,B54="G",7.5,B54="H",5,B54="I",2.5,B54="J",0)</f>
        <v>2.5</v>
      </c>
      <c r="F54" s="169" cm="1">
        <f t="array" ref="F54">_xlfn.IFS(C54="Espagne",175,C54="Maroc",135,C54="Portugal",140)</f>
        <v>175</v>
      </c>
      <c r="G54" s="170">
        <f t="shared" si="2"/>
        <v>177.5</v>
      </c>
      <c r="H54" s="170">
        <f t="shared" si="3"/>
        <v>7207920</v>
      </c>
      <c r="I54" s="171" cm="1">
        <f t="array" ref="I54">_xlfn.IFS(A54=1,1400000,A54=5,1725000,A54=12,2000000,A54=2,1225000,A54=20,1150000,A54=16,1150000,A54=9,1000000,A54=17,800000,A54=7,925000,A54=14,800000,A54=18,900000,A54=19,900000,A54=4,700000,A54=6,700000,A54=13,800000,A54=15,800000,A54=3,600000,A54=8,600000,A54=10,500000,A54=11,550000)</f>
        <v>700000</v>
      </c>
      <c r="J54" s="170">
        <f t="shared" si="4"/>
        <v>6507920</v>
      </c>
      <c r="K54" s="175">
        <f>IF(Comparaison!$D54&lt;=50000,0,1)</f>
        <v>0</v>
      </c>
      <c r="M54" s="173">
        <v>6</v>
      </c>
      <c r="N54" s="167" t="s">
        <v>77</v>
      </c>
      <c r="O54" s="167" t="str" cm="1">
        <f t="array" ref="O54">_xlfn.IFS(M54&lt;=11,"Espagne",M54&lt;=17,"Maroc",M54&lt;=20,"Portugal")</f>
        <v>Espagne</v>
      </c>
      <c r="P54" s="168" cm="1">
        <f t="array" ref="P54">_xlfn.IFS(M54=1,85000,M54=5,105000,M54=12,115000,M54=2,66975,M54=20,64600,M54=16,63050,M54=9,55872,M54=17,59800,M54=7,49036,M54=14,44296,M54=18,47000,M54=19,47595,M54=4,37260,M54=6,40608,M54=13,44135,M54=15,41850,M54=3,30576,M54=8,32870,M54=10,26100,M54=11,28796)</f>
        <v>40608</v>
      </c>
      <c r="Q54" s="169" cm="1">
        <f t="array" ref="Q54">_xlfn.IFS(N54="A",22.5,N54="B",20,N54="C",17.5,N54="D",15,N54="E",12.5,N54="F",10,N54="G",7.5,N54="H",5,N54="I",2.5,N54="J",0)</f>
        <v>2.5</v>
      </c>
      <c r="R54" s="169" cm="1">
        <f t="array" ref="R54">_xlfn.IFS(O54="Espagne",175,O54="Maroc",135,O54="Portugal",140)</f>
        <v>175</v>
      </c>
      <c r="S54" s="170">
        <f t="shared" si="5"/>
        <v>177.5</v>
      </c>
      <c r="T54" s="170">
        <f t="shared" si="6"/>
        <v>7207920</v>
      </c>
      <c r="U54" s="170" cm="1">
        <f t="array" ref="U54">_xlfn.IFS(M54=1,1400000,M54=5,1725000,M54=12,2000000,M54=2,1225000,M54=20,1150000,M54=16,1150000,M54=9,1000000,M54=17,800000,M54=7,925000,M54=14,800000,M54=18,900000,M54=19,900000,M54=4,700000,M54=6,700000,M54=13,800000,M54=15,800000,M54=3,600000,M54=8,600000,M54=10,500000,M54=11,550000)</f>
        <v>700000</v>
      </c>
      <c r="V54" s="180" cm="1">
        <f t="array" ref="V54">_xlfn.IFS(M54=1,1.25%,M54=5,1.25%,M54=12,1.5%,M54=2,2.25%,M54=20,1.75%,M54=16,1.5%,M54=9,2.25%,M54=17,1.25%,M54=7,1.75%,M54=14,2%,M54=18,1.75%,M54=19,1.75%,M54=4,2%,M54=6,2.25%,M54=13,1.5%,M54=15,2%,M54=3,2.25%,M54=8,1.5%,M54=10,1.75%,M54=11,2%)</f>
        <v>2.2499999999999999E-2</v>
      </c>
      <c r="W54" s="170">
        <f>Comparaison!$V54*Comparaison!$S54*Comparaison!$P54</f>
        <v>162178.19999999998</v>
      </c>
      <c r="X54" s="170">
        <f>T54-Comparaison!$U54-Comparaison!$W54</f>
        <v>6345741.7999999998</v>
      </c>
      <c r="Y54" s="175">
        <f>IF(Comparaison!$P54&lt;=50000,0,1)</f>
        <v>0</v>
      </c>
    </row>
    <row r="55" spans="1:25">
      <c r="A55" s="172">
        <v>6</v>
      </c>
      <c r="B55" s="162" t="s">
        <v>77</v>
      </c>
      <c r="C55" s="162" t="str" cm="1">
        <f t="array" ref="C55">_xlfn.IFS(A55&lt;=11,"Espagne",A55&lt;=17,"Maroc",A55&lt;=20,"Portugal")</f>
        <v>Espagne</v>
      </c>
      <c r="D55" s="163" cm="1">
        <f t="array" ref="D55">_xlfn.IFS(A55=1,85000,A55=5,105000,A55=12,115000,A55=2,66975,A55=20,64600,A55=16,63050,A55=9,55872,A55=17,59800,A55=7,49036,A55=14,44296,A55=18,47000,A55=19,47595,A55=4,37260,A55=6,40608,A55=13,44135,A55=15,41850,A55=3,30576,A55=8,32870,A55=10,26100,A55=11,28796)</f>
        <v>40608</v>
      </c>
      <c r="E55" s="169" cm="1">
        <f t="array" ref="E55">_xlfn.IFS(B55="A",22.5,B55="B",20,B55="C",17.5,B55="D",15,B55="E",12.5,B55="F",10,B55="G",7.5,B55="H",5,B55="I",2.5,B55="J",0)</f>
        <v>2.5</v>
      </c>
      <c r="F55" s="169" cm="1">
        <f t="array" ref="F55">_xlfn.IFS(C55="Espagne",175,C55="Maroc",135,C55="Portugal",140)</f>
        <v>175</v>
      </c>
      <c r="G55" s="165">
        <f t="shared" si="2"/>
        <v>177.5</v>
      </c>
      <c r="H55" s="165">
        <f t="shared" si="3"/>
        <v>7207920</v>
      </c>
      <c r="I55" s="166" cm="1">
        <f t="array" ref="I55">_xlfn.IFS(A55=1,1400000,A55=5,1725000,A55=12,2000000,A55=2,1225000,A55=20,1150000,A55=16,1150000,A55=9,1000000,A55=17,800000,A55=7,925000,A55=14,800000,A55=18,900000,A55=19,900000,A55=4,700000,A55=6,700000,A55=13,800000,A55=15,800000,A55=3,600000,A55=8,600000,A55=10,500000,A55=11,550000)</f>
        <v>700000</v>
      </c>
      <c r="J55" s="165">
        <f t="shared" si="4"/>
        <v>6507920</v>
      </c>
      <c r="K55" s="176">
        <f>IF(Comparaison!$D55&lt;=50000,0,1)</f>
        <v>0</v>
      </c>
      <c r="M55" s="172">
        <v>6</v>
      </c>
      <c r="N55" s="162" t="s">
        <v>77</v>
      </c>
      <c r="O55" s="162" t="str" cm="1">
        <f t="array" ref="O55">_xlfn.IFS(M55&lt;=11,"Espagne",M55&lt;=17,"Maroc",M55&lt;=20,"Portugal")</f>
        <v>Espagne</v>
      </c>
      <c r="P55" s="163" cm="1">
        <f t="array" ref="P55">_xlfn.IFS(M55=1,85000,M55=5,105000,M55=12,115000,M55=2,66975,M55=20,64600,M55=16,63050,M55=9,55872,M55=17,59800,M55=7,49036,M55=14,44296,M55=18,47000,M55=19,47595,M55=4,37260,M55=6,40608,M55=13,44135,M55=15,41850,M55=3,30576,M55=8,32870,M55=10,26100,M55=11,28796)</f>
        <v>40608</v>
      </c>
      <c r="Q55" s="169" cm="1">
        <f t="array" ref="Q55">_xlfn.IFS(N55="A",22.5,N55="B",20,N55="C",17.5,N55="D",15,N55="E",12.5,N55="F",10,N55="G",7.5,N55="H",5,N55="I",2.5,N55="J",0)</f>
        <v>2.5</v>
      </c>
      <c r="R55" s="169" cm="1">
        <f t="array" ref="R55">_xlfn.IFS(O55="Espagne",175,O55="Maroc",135,O55="Portugal",140)</f>
        <v>175</v>
      </c>
      <c r="S55" s="165">
        <f t="shared" si="5"/>
        <v>177.5</v>
      </c>
      <c r="T55" s="165">
        <f t="shared" si="6"/>
        <v>7207920</v>
      </c>
      <c r="U55" s="165" cm="1">
        <f t="array" ref="U55">_xlfn.IFS(M55=1,1400000,M55=5,1725000,M55=12,2000000,M55=2,1225000,M55=20,1150000,M55=16,1150000,M55=9,1000000,M55=17,800000,M55=7,925000,M55=14,800000,M55=18,900000,M55=19,900000,M55=4,700000,M55=6,700000,M55=13,800000,M55=15,800000,M55=3,600000,M55=8,600000,M55=10,500000,M55=11,550000)</f>
        <v>700000</v>
      </c>
      <c r="V55" s="179" cm="1">
        <f t="array" ref="V55">_xlfn.IFS(M55=1,1.25%,M55=5,1.25%,M55=12,1.5%,M55=2,2.25%,M55=20,1.75%,M55=16,1.5%,M55=9,2.25%,M55=17,1.25%,M55=7,1.75%,M55=14,2%,M55=18,1.75%,M55=19,1.75%,M55=4,2%,M55=6,2.25%,M55=13,1.5%,M55=15,2%,M55=3,2.25%,M55=8,1.5%,M55=10,1.75%,M55=11,2%)</f>
        <v>2.2499999999999999E-2</v>
      </c>
      <c r="W55" s="165">
        <f>Comparaison!$V55*Comparaison!$S55*Comparaison!$P55</f>
        <v>162178.19999999998</v>
      </c>
      <c r="X55" s="165">
        <f>T55-Comparaison!$U55-Comparaison!$W55</f>
        <v>6345741.7999999998</v>
      </c>
      <c r="Y55" s="176">
        <f>IF(Comparaison!$P55&lt;=50000,0,1)</f>
        <v>0</v>
      </c>
    </row>
    <row r="56" spans="1:25">
      <c r="A56" s="173">
        <v>7</v>
      </c>
      <c r="B56" s="167" t="s">
        <v>77</v>
      </c>
      <c r="C56" s="167" t="str" cm="1">
        <f t="array" ref="C56">_xlfn.IFS(A56&lt;=11,"Espagne",A56&lt;=17,"Maroc",A56&lt;=20,"Portugal")</f>
        <v>Espagne</v>
      </c>
      <c r="D56" s="168" cm="1">
        <f t="array" ref="D56">_xlfn.IFS(A56=1,85000,A56=5,105000,A56=12,115000,A56=2,66975,A56=20,64600,A56=16,63050,A56=9,55872,A56=17,59800,A56=7,49036,A56=14,44296,A56=18,47000,A56=19,47595,A56=4,37260,A56=6,40608,A56=13,44135,A56=15,41850,A56=3,30576,A56=8,32870,A56=10,26100,A56=11,28796)</f>
        <v>49036</v>
      </c>
      <c r="E56" s="169" cm="1">
        <f t="array" ref="E56">_xlfn.IFS(B56="A",22.5,B56="B",20,B56="C",17.5,B56="D",15,B56="E",12.5,B56="F",10,B56="G",7.5,B56="H",5,B56="I",2.5,B56="J",0)</f>
        <v>2.5</v>
      </c>
      <c r="F56" s="169" cm="1">
        <f t="array" ref="F56">_xlfn.IFS(C56="Espagne",175,C56="Maroc",135,C56="Portugal",140)</f>
        <v>175</v>
      </c>
      <c r="G56" s="170">
        <f t="shared" si="2"/>
        <v>177.5</v>
      </c>
      <c r="H56" s="170">
        <f t="shared" si="3"/>
        <v>8703890</v>
      </c>
      <c r="I56" s="171" cm="1">
        <f t="array" ref="I56">_xlfn.IFS(A56=1,1400000,A56=5,1725000,A56=12,2000000,A56=2,1225000,A56=20,1150000,A56=16,1150000,A56=9,1000000,A56=17,800000,A56=7,925000,A56=14,800000,A56=18,900000,A56=19,900000,A56=4,700000,A56=6,700000,A56=13,800000,A56=15,800000,A56=3,600000,A56=8,600000,A56=10,500000,A56=11,550000)</f>
        <v>925000</v>
      </c>
      <c r="J56" s="170">
        <f t="shared" si="4"/>
        <v>7778890</v>
      </c>
      <c r="K56" s="175">
        <f>IF(Comparaison!$D56&lt;=50000,0,1)</f>
        <v>0</v>
      </c>
      <c r="M56" s="173">
        <v>8</v>
      </c>
      <c r="N56" s="167" t="s">
        <v>77</v>
      </c>
      <c r="O56" s="167" t="str" cm="1">
        <f t="array" ref="O56">_xlfn.IFS(M56&lt;=11,"Espagne",M56&lt;=17,"Maroc",M56&lt;=20,"Portugal")</f>
        <v>Espagne</v>
      </c>
      <c r="P56" s="168" cm="1">
        <f t="array" ref="P56">_xlfn.IFS(M56=1,85000,M56=5,105000,M56=12,115000,M56=2,66975,M56=20,64600,M56=16,63050,M56=9,55872,M56=17,59800,M56=7,49036,M56=14,44296,M56=18,47000,M56=19,47595,M56=4,37260,M56=6,40608,M56=13,44135,M56=15,41850,M56=3,30576,M56=8,32870,M56=10,26100,M56=11,28796)</f>
        <v>32870</v>
      </c>
      <c r="Q56" s="169" cm="1">
        <f t="array" ref="Q56">_xlfn.IFS(N56="A",22.5,N56="B",20,N56="C",17.5,N56="D",15,N56="E",12.5,N56="F",10,N56="G",7.5,N56="H",5,N56="I",2.5,N56="J",0)</f>
        <v>2.5</v>
      </c>
      <c r="R56" s="169" cm="1">
        <f t="array" ref="R56">_xlfn.IFS(O56="Espagne",175,O56="Maroc",135,O56="Portugal",140)</f>
        <v>175</v>
      </c>
      <c r="S56" s="170">
        <f t="shared" si="5"/>
        <v>177.5</v>
      </c>
      <c r="T56" s="170">
        <f t="shared" si="6"/>
        <v>5834425</v>
      </c>
      <c r="U56" s="170" cm="1">
        <f t="array" ref="U56">_xlfn.IFS(M56=1,1400000,M56=5,1725000,M56=12,2000000,M56=2,1225000,M56=20,1150000,M56=16,1150000,M56=9,1000000,M56=17,800000,M56=7,925000,M56=14,800000,M56=18,900000,M56=19,900000,M56=4,700000,M56=6,700000,M56=13,800000,M56=15,800000,M56=3,600000,M56=8,600000,M56=10,500000,M56=11,550000)</f>
        <v>600000</v>
      </c>
      <c r="V56" s="180" cm="1">
        <f t="array" ref="V56">_xlfn.IFS(M56=1,1.25%,M56=5,1.25%,M56=12,1.5%,M56=2,2.25%,M56=20,1.75%,M56=16,1.5%,M56=9,2.25%,M56=17,1.25%,M56=7,1.75%,M56=14,2%,M56=18,1.75%,M56=19,1.75%,M56=4,2%,M56=6,2.25%,M56=13,1.5%,M56=15,2%,M56=3,2.25%,M56=8,1.5%,M56=10,1.75%,M56=11,2%)</f>
        <v>1.4999999999999999E-2</v>
      </c>
      <c r="W56" s="170">
        <f>Comparaison!$V56*Comparaison!$S56*Comparaison!$P56</f>
        <v>87516.375</v>
      </c>
      <c r="X56" s="170">
        <f>T56-Comparaison!$U56-Comparaison!$W56</f>
        <v>5146908.625</v>
      </c>
      <c r="Y56" s="175">
        <f>IF(Comparaison!$P56&lt;=50000,0,1)</f>
        <v>0</v>
      </c>
    </row>
    <row r="57" spans="1:25">
      <c r="A57" s="172">
        <v>13</v>
      </c>
      <c r="B57" s="162" t="s">
        <v>77</v>
      </c>
      <c r="C57" s="162" t="str" cm="1">
        <f t="array" ref="C57">_xlfn.IFS(A57&lt;=11,"Espagne",A57&lt;=17,"Maroc",A57&lt;=20,"Portugal")</f>
        <v>Maroc</v>
      </c>
      <c r="D57" s="163" cm="1">
        <f t="array" ref="D57">_xlfn.IFS(A57=1,85000,A57=5,105000,A57=12,115000,A57=2,66975,A57=20,64600,A57=16,63050,A57=9,55872,A57=17,59800,A57=7,49036,A57=14,44296,A57=18,47000,A57=19,47595,A57=4,37260,A57=6,40608,A57=13,44135,A57=15,41850,A57=3,30576,A57=8,32870,A57=10,26100,A57=11,28796)</f>
        <v>44135</v>
      </c>
      <c r="E57" s="169" cm="1">
        <f t="array" ref="E57">_xlfn.IFS(B57="A",22.5,B57="B",20,B57="C",17.5,B57="D",15,B57="E",12.5,B57="F",10,B57="G",7.5,B57="H",5,B57="I",2.5,B57="J",0)</f>
        <v>2.5</v>
      </c>
      <c r="F57" s="169" cm="1">
        <f t="array" ref="F57">_xlfn.IFS(C57="Espagne",175,C57="Maroc",135,C57="Portugal",140)</f>
        <v>135</v>
      </c>
      <c r="G57" s="165">
        <f t="shared" si="2"/>
        <v>137.5</v>
      </c>
      <c r="H57" s="165">
        <f t="shared" si="3"/>
        <v>6068562.5</v>
      </c>
      <c r="I57" s="166" cm="1">
        <f t="array" ref="I57">_xlfn.IFS(A57=1,1400000,A57=5,1725000,A57=12,2000000,A57=2,1225000,A57=20,1150000,A57=16,1150000,A57=9,1000000,A57=17,800000,A57=7,925000,A57=14,800000,A57=18,900000,A57=19,900000,A57=4,700000,A57=6,700000,A57=13,800000,A57=15,800000,A57=3,600000,A57=8,600000,A57=10,500000,A57=11,550000)</f>
        <v>800000</v>
      </c>
      <c r="J57" s="165">
        <f t="shared" si="4"/>
        <v>5268562.5</v>
      </c>
      <c r="K57" s="176">
        <f>IF(Comparaison!$D57&lt;=50000,0,1)</f>
        <v>0</v>
      </c>
      <c r="M57" s="172">
        <v>10</v>
      </c>
      <c r="N57" s="162" t="s">
        <v>77</v>
      </c>
      <c r="O57" s="162" t="str" cm="1">
        <f t="array" ref="O57">_xlfn.IFS(M57&lt;=11,"Espagne",M57&lt;=17,"Maroc",M57&lt;=20,"Portugal")</f>
        <v>Espagne</v>
      </c>
      <c r="P57" s="163" cm="1">
        <f t="array" ref="P57">_xlfn.IFS(M57=1,85000,M57=5,105000,M57=12,115000,M57=2,66975,M57=20,64600,M57=16,63050,M57=9,55872,M57=17,59800,M57=7,49036,M57=14,44296,M57=18,47000,M57=19,47595,M57=4,37260,M57=6,40608,M57=13,44135,M57=15,41850,M57=3,30576,M57=8,32870,M57=10,26100,M57=11,28796)</f>
        <v>26100</v>
      </c>
      <c r="Q57" s="169" cm="1">
        <f t="array" ref="Q57">_xlfn.IFS(N57="A",22.5,N57="B",20,N57="C",17.5,N57="D",15,N57="E",12.5,N57="F",10,N57="G",7.5,N57="H",5,N57="I",2.5,N57="J",0)</f>
        <v>2.5</v>
      </c>
      <c r="R57" s="169" cm="1">
        <f t="array" ref="R57">_xlfn.IFS(O57="Espagne",175,O57="Maroc",135,O57="Portugal",140)</f>
        <v>175</v>
      </c>
      <c r="S57" s="165">
        <f t="shared" si="5"/>
        <v>177.5</v>
      </c>
      <c r="T57" s="165">
        <f t="shared" si="6"/>
        <v>4632750</v>
      </c>
      <c r="U57" s="165" cm="1">
        <f t="array" ref="U57">_xlfn.IFS(M57=1,1400000,M57=5,1725000,M57=12,2000000,M57=2,1225000,M57=20,1150000,M57=16,1150000,M57=9,1000000,M57=17,800000,M57=7,925000,M57=14,800000,M57=18,900000,M57=19,900000,M57=4,700000,M57=6,700000,M57=13,800000,M57=15,800000,M57=3,600000,M57=8,600000,M57=10,500000,M57=11,550000)</f>
        <v>500000</v>
      </c>
      <c r="V57" s="179" cm="1">
        <f t="array" ref="V57">_xlfn.IFS(M57=1,1.25%,M57=5,1.25%,M57=12,1.5%,M57=2,2.25%,M57=20,1.75%,M57=16,1.5%,M57=9,2.25%,M57=17,1.25%,M57=7,1.75%,M57=14,2%,M57=18,1.75%,M57=19,1.75%,M57=4,2%,M57=6,2.25%,M57=13,1.5%,M57=15,2%,M57=3,2.25%,M57=8,1.5%,M57=10,1.75%,M57=11,2%)</f>
        <v>1.7500000000000002E-2</v>
      </c>
      <c r="W57" s="165">
        <f>Comparaison!$V57*Comparaison!$S57*Comparaison!$P57</f>
        <v>81073.125</v>
      </c>
      <c r="X57" s="165">
        <f>T57-Comparaison!$U57-Comparaison!$W57</f>
        <v>4051676.875</v>
      </c>
      <c r="Y57" s="176">
        <f>IF(Comparaison!$P57&lt;=50000,0,1)</f>
        <v>0</v>
      </c>
    </row>
    <row r="58" spans="1:25">
      <c r="A58" s="173">
        <v>15</v>
      </c>
      <c r="B58" s="167" t="s">
        <v>77</v>
      </c>
      <c r="C58" s="167" t="str" cm="1">
        <f t="array" ref="C58">_xlfn.IFS(A58&lt;=11,"Espagne",A58&lt;=17,"Maroc",A58&lt;=20,"Portugal")</f>
        <v>Maroc</v>
      </c>
      <c r="D58" s="168" cm="1">
        <f t="array" ref="D58">_xlfn.IFS(A58=1,85000,A58=5,105000,A58=12,115000,A58=2,66975,A58=20,64600,A58=16,63050,A58=9,55872,A58=17,59800,A58=7,49036,A58=14,44296,A58=18,47000,A58=19,47595,A58=4,37260,A58=6,40608,A58=13,44135,A58=15,41850,A58=3,30576,A58=8,32870,A58=10,26100,A58=11,28796)</f>
        <v>41850</v>
      </c>
      <c r="E58" s="169" cm="1">
        <f t="array" ref="E58">_xlfn.IFS(B58="A",22.5,B58="B",20,B58="C",17.5,B58="D",15,B58="E",12.5,B58="F",10,B58="G",7.5,B58="H",5,B58="I",2.5,B58="J",0)</f>
        <v>2.5</v>
      </c>
      <c r="F58" s="169" cm="1">
        <f t="array" ref="F58">_xlfn.IFS(C58="Espagne",175,C58="Maroc",135,C58="Portugal",140)</f>
        <v>135</v>
      </c>
      <c r="G58" s="170">
        <f t="shared" si="2"/>
        <v>137.5</v>
      </c>
      <c r="H58" s="170">
        <f t="shared" si="3"/>
        <v>5754375</v>
      </c>
      <c r="I58" s="171" cm="1">
        <f t="array" ref="I58">_xlfn.IFS(A58=1,1400000,A58=5,1725000,A58=12,2000000,A58=2,1225000,A58=20,1150000,A58=16,1150000,A58=9,1000000,A58=17,800000,A58=7,925000,A58=14,800000,A58=18,900000,A58=19,900000,A58=4,700000,A58=6,700000,A58=13,800000,A58=15,800000,A58=3,600000,A58=8,600000,A58=10,500000,A58=11,550000)</f>
        <v>800000</v>
      </c>
      <c r="J58" s="170">
        <f t="shared" si="4"/>
        <v>4954375</v>
      </c>
      <c r="K58" s="175">
        <f>IF(Comparaison!$D58&lt;=50000,0,1)</f>
        <v>0</v>
      </c>
      <c r="M58" s="173">
        <v>11</v>
      </c>
      <c r="N58" s="167" t="s">
        <v>77</v>
      </c>
      <c r="O58" s="167" t="str" cm="1">
        <f t="array" ref="O58">_xlfn.IFS(M58&lt;=11,"Espagne",M58&lt;=17,"Maroc",M58&lt;=20,"Portugal")</f>
        <v>Espagne</v>
      </c>
      <c r="P58" s="168" cm="1">
        <f t="array" ref="P58">_xlfn.IFS(M58=1,85000,M58=5,105000,M58=12,115000,M58=2,66975,M58=20,64600,M58=16,63050,M58=9,55872,M58=17,59800,M58=7,49036,M58=14,44296,M58=18,47000,M58=19,47595,M58=4,37260,M58=6,40608,M58=13,44135,M58=15,41850,M58=3,30576,M58=8,32870,M58=10,26100,M58=11,28796)</f>
        <v>28796</v>
      </c>
      <c r="Q58" s="169" cm="1">
        <f t="array" ref="Q58">_xlfn.IFS(N58="A",22.5,N58="B",20,N58="C",17.5,N58="D",15,N58="E",12.5,N58="F",10,N58="G",7.5,N58="H",5,N58="I",2.5,N58="J",0)</f>
        <v>2.5</v>
      </c>
      <c r="R58" s="169" cm="1">
        <f t="array" ref="R58">_xlfn.IFS(O58="Espagne",175,O58="Maroc",135,O58="Portugal",140)</f>
        <v>175</v>
      </c>
      <c r="S58" s="170">
        <f t="shared" si="5"/>
        <v>177.5</v>
      </c>
      <c r="T58" s="170">
        <f t="shared" si="6"/>
        <v>5111290</v>
      </c>
      <c r="U58" s="170" cm="1">
        <f t="array" ref="U58">_xlfn.IFS(M58=1,1400000,M58=5,1725000,M58=12,2000000,M58=2,1225000,M58=20,1150000,M58=16,1150000,M58=9,1000000,M58=17,800000,M58=7,925000,M58=14,800000,M58=18,900000,M58=19,900000,M58=4,700000,M58=6,700000,M58=13,800000,M58=15,800000,M58=3,600000,M58=8,600000,M58=10,500000,M58=11,550000)</f>
        <v>550000</v>
      </c>
      <c r="V58" s="180" cm="1">
        <f t="array" ref="V58">_xlfn.IFS(M58=1,1.25%,M58=5,1.25%,M58=12,1.5%,M58=2,2.25%,M58=20,1.75%,M58=16,1.5%,M58=9,2.25%,M58=17,1.25%,M58=7,1.75%,M58=14,2%,M58=18,1.75%,M58=19,1.75%,M58=4,2%,M58=6,2.25%,M58=13,1.5%,M58=15,2%,M58=3,2.25%,M58=8,1.5%,M58=10,1.75%,M58=11,2%)</f>
        <v>0.02</v>
      </c>
      <c r="W58" s="170">
        <f>Comparaison!$V58*Comparaison!$S58*Comparaison!$P58</f>
        <v>102225.8</v>
      </c>
      <c r="X58" s="170">
        <f>T58-Comparaison!$U58-Comparaison!$W58</f>
        <v>4459064.2</v>
      </c>
      <c r="Y58" s="175">
        <f>IF(Comparaison!$P58&lt;=50000,0,1)</f>
        <v>0</v>
      </c>
    </row>
    <row r="59" spans="1:25">
      <c r="A59" s="172">
        <v>3</v>
      </c>
      <c r="B59" s="162" t="s">
        <v>78</v>
      </c>
      <c r="C59" s="162" t="str" cm="1">
        <f t="array" ref="C59">_xlfn.IFS(A59&lt;=11,"Espagne",A59&lt;=17,"Maroc",A59&lt;=20,"Portugal")</f>
        <v>Espagne</v>
      </c>
      <c r="D59" s="163" cm="1">
        <f t="array" ref="D59">_xlfn.IFS(A59=1,85000,A59=5,105000,A59=12,115000,A59=2,66975,A59=20,64600,A59=16,63050,A59=9,55872,A59=17,59800,A59=7,49036,A59=14,44296,A59=18,47000,A59=19,47595,A59=4,37260,A59=6,40608,A59=13,44135,A59=15,41850,A59=3,30576,A59=8,32870,A59=10,26100,A59=11,28796)</f>
        <v>30576</v>
      </c>
      <c r="E59" s="169" cm="1">
        <f t="array" ref="E59">_xlfn.IFS(B59="A",22.5,B59="B",20,B59="C",17.5,B59="D",15,B59="E",12.5,B59="F",10,B59="G",7.5,B59="H",5,B59="I",2.5,B59="J",0)</f>
        <v>0</v>
      </c>
      <c r="F59" s="169" cm="1">
        <f t="array" ref="F59">_xlfn.IFS(C59="Espagne",175,C59="Maroc",135,C59="Portugal",140)</f>
        <v>175</v>
      </c>
      <c r="G59" s="165">
        <f t="shared" si="2"/>
        <v>175</v>
      </c>
      <c r="H59" s="165">
        <f t="shared" si="3"/>
        <v>5350800</v>
      </c>
      <c r="I59" s="166" cm="1">
        <f t="array" ref="I59">_xlfn.IFS(A59=1,1400000,A59=5,1725000,A59=12,2000000,A59=2,1225000,A59=20,1150000,A59=16,1150000,A59=9,1000000,A59=17,800000,A59=7,925000,A59=14,800000,A59=18,900000,A59=19,900000,A59=4,700000,A59=6,700000,A59=13,800000,A59=15,800000,A59=3,600000,A59=8,600000,A59=10,500000,A59=11,550000)</f>
        <v>600000</v>
      </c>
      <c r="J59" s="165">
        <f t="shared" si="4"/>
        <v>4750800</v>
      </c>
      <c r="K59" s="176">
        <f>IF(Comparaison!$D59&lt;=50000,0,1)</f>
        <v>0</v>
      </c>
      <c r="M59" s="172">
        <v>12</v>
      </c>
      <c r="N59" s="162" t="s">
        <v>78</v>
      </c>
      <c r="O59" s="162" t="str" cm="1">
        <f t="array" ref="O59">_xlfn.IFS(M59&lt;=11,"Espagne",M59&lt;=17,"Maroc",M59&lt;=20,"Portugal")</f>
        <v>Maroc</v>
      </c>
      <c r="P59" s="163" cm="1">
        <f t="array" ref="P59">_xlfn.IFS(M59=1,85000,M59=5,105000,M59=12,115000,M59=2,66975,M59=20,64600,M59=16,63050,M59=9,55872,M59=17,59800,M59=7,49036,M59=14,44296,M59=18,47000,M59=19,47595,M59=4,37260,M59=6,40608,M59=13,44135,M59=15,41850,M59=3,30576,M59=8,32870,M59=10,26100,M59=11,28796)</f>
        <v>115000</v>
      </c>
      <c r="Q59" s="169" cm="1">
        <f t="array" ref="Q59">_xlfn.IFS(N59="A",22.5,N59="B",20,N59="C",17.5,N59="D",15,N59="E",12.5,N59="F",10,N59="G",7.5,N59="H",5,N59="I",2.5,N59="J",0)</f>
        <v>0</v>
      </c>
      <c r="R59" s="169" cm="1">
        <f t="array" ref="R59">_xlfn.IFS(O59="Espagne",175,O59="Maroc",135,O59="Portugal",140)</f>
        <v>135</v>
      </c>
      <c r="S59" s="165">
        <f t="shared" si="5"/>
        <v>135</v>
      </c>
      <c r="T59" s="165">
        <f t="shared" si="6"/>
        <v>15525000</v>
      </c>
      <c r="U59" s="165" cm="1">
        <f t="array" ref="U59">_xlfn.IFS(M59=1,1400000,M59=5,1725000,M59=12,2000000,M59=2,1225000,M59=20,1150000,M59=16,1150000,M59=9,1000000,M59=17,800000,M59=7,925000,M59=14,800000,M59=18,900000,M59=19,900000,M59=4,700000,M59=6,700000,M59=13,800000,M59=15,800000,M59=3,600000,M59=8,600000,M59=10,500000,M59=11,550000)</f>
        <v>2000000</v>
      </c>
      <c r="V59" s="179" cm="1">
        <f t="array" ref="V59">_xlfn.IFS(M59=1,1.25%,M59=5,1.25%,M59=12,1.5%,M59=2,2.25%,M59=20,1.75%,M59=16,1.5%,M59=9,2.25%,M59=17,1.25%,M59=7,1.75%,M59=14,2%,M59=18,1.75%,M59=19,1.75%,M59=4,2%,M59=6,2.25%,M59=13,1.5%,M59=15,2%,M59=3,2.25%,M59=8,1.5%,M59=10,1.75%,M59=11,2%)</f>
        <v>1.4999999999999999E-2</v>
      </c>
      <c r="W59" s="165">
        <f>Comparaison!$V59*Comparaison!$S59*Comparaison!$P59</f>
        <v>232875</v>
      </c>
      <c r="X59" s="165">
        <f>T59-Comparaison!$U59-Comparaison!$W59</f>
        <v>13292125</v>
      </c>
      <c r="Y59" s="176">
        <f>IF(Comparaison!$P59&lt;=50000,0,1)</f>
        <v>1</v>
      </c>
    </row>
    <row r="60" spans="1:25">
      <c r="A60" s="173">
        <v>6</v>
      </c>
      <c r="B60" s="167" t="s">
        <v>78</v>
      </c>
      <c r="C60" s="167" t="str" cm="1">
        <f t="array" ref="C60">_xlfn.IFS(A60&lt;=11,"Espagne",A60&lt;=17,"Maroc",A60&lt;=20,"Portugal")</f>
        <v>Espagne</v>
      </c>
      <c r="D60" s="168" cm="1">
        <f t="array" ref="D60">_xlfn.IFS(A60=1,85000,A60=5,105000,A60=12,115000,A60=2,66975,A60=20,64600,A60=16,63050,A60=9,55872,A60=17,59800,A60=7,49036,A60=14,44296,A60=18,47000,A60=19,47595,A60=4,37260,A60=6,40608,A60=13,44135,A60=15,41850,A60=3,30576,A60=8,32870,A60=10,26100,A60=11,28796)</f>
        <v>40608</v>
      </c>
      <c r="E60" s="169" cm="1">
        <f t="array" ref="E60">_xlfn.IFS(B60="A",22.5,B60="B",20,B60="C",17.5,B60="D",15,B60="E",12.5,B60="F",10,B60="G",7.5,B60="H",5,B60="I",2.5,B60="J",0)</f>
        <v>0</v>
      </c>
      <c r="F60" s="169" cm="1">
        <f t="array" ref="F60">_xlfn.IFS(C60="Espagne",175,C60="Maroc",135,C60="Portugal",140)</f>
        <v>175</v>
      </c>
      <c r="G60" s="170">
        <f t="shared" si="2"/>
        <v>175</v>
      </c>
      <c r="H60" s="170">
        <f t="shared" si="3"/>
        <v>7106400</v>
      </c>
      <c r="I60" s="171" cm="1">
        <f t="array" ref="I60">_xlfn.IFS(A60=1,1400000,A60=5,1725000,A60=12,2000000,A60=2,1225000,A60=20,1150000,A60=16,1150000,A60=9,1000000,A60=17,800000,A60=7,925000,A60=14,800000,A60=18,900000,A60=19,900000,A60=4,700000,A60=6,700000,A60=13,800000,A60=15,800000,A60=3,600000,A60=8,600000,A60=10,500000,A60=11,550000)</f>
        <v>700000</v>
      </c>
      <c r="J60" s="170">
        <f t="shared" si="4"/>
        <v>6406400</v>
      </c>
      <c r="K60" s="175">
        <f>IF(Comparaison!$D60&lt;=50000,0,1)</f>
        <v>0</v>
      </c>
      <c r="M60" s="173">
        <v>13</v>
      </c>
      <c r="N60" s="167" t="s">
        <v>78</v>
      </c>
      <c r="O60" s="167" t="str" cm="1">
        <f t="array" ref="O60">_xlfn.IFS(M60&lt;=11,"Espagne",M60&lt;=17,"Maroc",M60&lt;=20,"Portugal")</f>
        <v>Maroc</v>
      </c>
      <c r="P60" s="168" cm="1">
        <f t="array" ref="P60">_xlfn.IFS(M60=1,85000,M60=5,105000,M60=12,115000,M60=2,66975,M60=20,64600,M60=16,63050,M60=9,55872,M60=17,59800,M60=7,49036,M60=14,44296,M60=18,47000,M60=19,47595,M60=4,37260,M60=6,40608,M60=13,44135,M60=15,41850,M60=3,30576,M60=8,32870,M60=10,26100,M60=11,28796)</f>
        <v>44135</v>
      </c>
      <c r="Q60" s="169" cm="1">
        <f t="array" ref="Q60">_xlfn.IFS(N60="A",22.5,N60="B",20,N60="C",17.5,N60="D",15,N60="E",12.5,N60="F",10,N60="G",7.5,N60="H",5,N60="I",2.5,N60="J",0)</f>
        <v>0</v>
      </c>
      <c r="R60" s="169" cm="1">
        <f t="array" ref="R60">_xlfn.IFS(O60="Espagne",175,O60="Maroc",135,O60="Portugal",140)</f>
        <v>135</v>
      </c>
      <c r="S60" s="170">
        <f t="shared" si="5"/>
        <v>135</v>
      </c>
      <c r="T60" s="170">
        <f t="shared" si="6"/>
        <v>5958225</v>
      </c>
      <c r="U60" s="170" cm="1">
        <f t="array" ref="U60">_xlfn.IFS(M60=1,1400000,M60=5,1725000,M60=12,2000000,M60=2,1225000,M60=20,1150000,M60=16,1150000,M60=9,1000000,M60=17,800000,M60=7,925000,M60=14,800000,M60=18,900000,M60=19,900000,M60=4,700000,M60=6,700000,M60=13,800000,M60=15,800000,M60=3,600000,M60=8,600000,M60=10,500000,M60=11,550000)</f>
        <v>800000</v>
      </c>
      <c r="V60" s="180" cm="1">
        <f t="array" ref="V60">_xlfn.IFS(M60=1,1.25%,M60=5,1.25%,M60=12,1.5%,M60=2,2.25%,M60=20,1.75%,M60=16,1.5%,M60=9,2.25%,M60=17,1.25%,M60=7,1.75%,M60=14,2%,M60=18,1.75%,M60=19,1.75%,M60=4,2%,M60=6,2.25%,M60=13,1.5%,M60=15,2%,M60=3,2.25%,M60=8,1.5%,M60=10,1.75%,M60=11,2%)</f>
        <v>1.4999999999999999E-2</v>
      </c>
      <c r="W60" s="170">
        <f>Comparaison!$V60*Comparaison!$S60*Comparaison!$P60</f>
        <v>89373.375</v>
      </c>
      <c r="X60" s="170">
        <f>T60-Comparaison!$U60-Comparaison!$W60</f>
        <v>5068851.625</v>
      </c>
      <c r="Y60" s="175">
        <f>IF(Comparaison!$P60&lt;=50000,0,1)</f>
        <v>0</v>
      </c>
    </row>
    <row r="61" spans="1:25">
      <c r="A61" s="172">
        <v>6</v>
      </c>
      <c r="B61" s="162" t="s">
        <v>78</v>
      </c>
      <c r="C61" s="162" t="str" cm="1">
        <f t="array" ref="C61">_xlfn.IFS(A61&lt;=11,"Espagne",A61&lt;=17,"Maroc",A61&lt;=20,"Portugal")</f>
        <v>Espagne</v>
      </c>
      <c r="D61" s="163" cm="1">
        <f t="array" ref="D61">_xlfn.IFS(A61=1,85000,A61=5,105000,A61=12,115000,A61=2,66975,A61=20,64600,A61=16,63050,A61=9,55872,A61=17,59800,A61=7,49036,A61=14,44296,A61=18,47000,A61=19,47595,A61=4,37260,A61=6,40608,A61=13,44135,A61=15,41850,A61=3,30576,A61=8,32870,A61=10,26100,A61=11,28796)</f>
        <v>40608</v>
      </c>
      <c r="E61" s="169" cm="1">
        <f t="array" ref="E61">_xlfn.IFS(B61="A",22.5,B61="B",20,B61="C",17.5,B61="D",15,B61="E",12.5,B61="F",10,B61="G",7.5,B61="H",5,B61="I",2.5,B61="J",0)</f>
        <v>0</v>
      </c>
      <c r="F61" s="169" cm="1">
        <f t="array" ref="F61">_xlfn.IFS(C61="Espagne",175,C61="Maroc",135,C61="Portugal",140)</f>
        <v>175</v>
      </c>
      <c r="G61" s="165">
        <f t="shared" si="2"/>
        <v>175</v>
      </c>
      <c r="H61" s="165">
        <f t="shared" si="3"/>
        <v>7106400</v>
      </c>
      <c r="I61" s="166" cm="1">
        <f t="array" ref="I61">_xlfn.IFS(A61=1,1400000,A61=5,1725000,A61=12,2000000,A61=2,1225000,A61=20,1150000,A61=16,1150000,A61=9,1000000,A61=17,800000,A61=7,925000,A61=14,800000,A61=18,900000,A61=19,900000,A61=4,700000,A61=6,700000,A61=13,800000,A61=15,800000,A61=3,600000,A61=8,600000,A61=10,500000,A61=11,550000)</f>
        <v>700000</v>
      </c>
      <c r="J61" s="165">
        <f t="shared" si="4"/>
        <v>6406400</v>
      </c>
      <c r="K61" s="176">
        <f>IF(Comparaison!$D61&lt;=50000,0,1)</f>
        <v>0</v>
      </c>
      <c r="M61" s="172">
        <v>14</v>
      </c>
      <c r="N61" s="162" t="s">
        <v>78</v>
      </c>
      <c r="O61" s="162" t="str" cm="1">
        <f t="array" ref="O61">_xlfn.IFS(M61&lt;=11,"Espagne",M61&lt;=17,"Maroc",M61&lt;=20,"Portugal")</f>
        <v>Maroc</v>
      </c>
      <c r="P61" s="163" cm="1">
        <f t="array" ref="P61">_xlfn.IFS(M61=1,85000,M61=5,105000,M61=12,115000,M61=2,66975,M61=20,64600,M61=16,63050,M61=9,55872,M61=17,59800,M61=7,49036,M61=14,44296,M61=18,47000,M61=19,47595,M61=4,37260,M61=6,40608,M61=13,44135,M61=15,41850,M61=3,30576,M61=8,32870,M61=10,26100,M61=11,28796)</f>
        <v>44296</v>
      </c>
      <c r="Q61" s="169" cm="1">
        <f t="array" ref="Q61">_xlfn.IFS(N61="A",22.5,N61="B",20,N61="C",17.5,N61="D",15,N61="E",12.5,N61="F",10,N61="G",7.5,N61="H",5,N61="I",2.5,N61="J",0)</f>
        <v>0</v>
      </c>
      <c r="R61" s="169" cm="1">
        <f t="array" ref="R61">_xlfn.IFS(O61="Espagne",175,O61="Maroc",135,O61="Portugal",140)</f>
        <v>135</v>
      </c>
      <c r="S61" s="165">
        <f t="shared" si="5"/>
        <v>135</v>
      </c>
      <c r="T61" s="165">
        <f t="shared" si="6"/>
        <v>5979960</v>
      </c>
      <c r="U61" s="165" cm="1">
        <f t="array" ref="U61">_xlfn.IFS(M61=1,1400000,M61=5,1725000,M61=12,2000000,M61=2,1225000,M61=20,1150000,M61=16,1150000,M61=9,1000000,M61=17,800000,M61=7,925000,M61=14,800000,M61=18,900000,M61=19,900000,M61=4,700000,M61=6,700000,M61=13,800000,M61=15,800000,M61=3,600000,M61=8,600000,M61=10,500000,M61=11,550000)</f>
        <v>800000</v>
      </c>
      <c r="V61" s="179" cm="1">
        <f t="array" ref="V61">_xlfn.IFS(M61=1,1.25%,M61=5,1.25%,M61=12,1.5%,M61=2,2.25%,M61=20,1.75%,M61=16,1.5%,M61=9,2.25%,M61=17,1.25%,M61=7,1.75%,M61=14,2%,M61=18,1.75%,M61=19,1.75%,M61=4,2%,M61=6,2.25%,M61=13,1.5%,M61=15,2%,M61=3,2.25%,M61=8,1.5%,M61=10,1.75%,M61=11,2%)</f>
        <v>0.02</v>
      </c>
      <c r="W61" s="165">
        <f>Comparaison!$V61*Comparaison!$S61*Comparaison!$P61</f>
        <v>119599.20000000001</v>
      </c>
      <c r="X61" s="165">
        <f>T61-Comparaison!$U61-Comparaison!$W61</f>
        <v>5060360.8</v>
      </c>
      <c r="Y61" s="176">
        <f>IF(Comparaison!$P61&lt;=50000,0,1)</f>
        <v>0</v>
      </c>
    </row>
    <row r="62" spans="1:25">
      <c r="A62" s="173">
        <v>8</v>
      </c>
      <c r="B62" s="167" t="s">
        <v>78</v>
      </c>
      <c r="C62" s="167" t="str" cm="1">
        <f t="array" ref="C62">_xlfn.IFS(A62&lt;=11,"Espagne",A62&lt;=17,"Maroc",A62&lt;=20,"Portugal")</f>
        <v>Espagne</v>
      </c>
      <c r="D62" s="168" cm="1">
        <f t="array" ref="D62">_xlfn.IFS(A62=1,85000,A62=5,105000,A62=12,115000,A62=2,66975,A62=20,64600,A62=16,63050,A62=9,55872,A62=17,59800,A62=7,49036,A62=14,44296,A62=18,47000,A62=19,47595,A62=4,37260,A62=6,40608,A62=13,44135,A62=15,41850,A62=3,30576,A62=8,32870,A62=10,26100,A62=11,28796)</f>
        <v>32870</v>
      </c>
      <c r="E62" s="169" cm="1">
        <f t="array" ref="E62">_xlfn.IFS(B62="A",22.5,B62="B",20,B62="C",17.5,B62="D",15,B62="E",12.5,B62="F",10,B62="G",7.5,B62="H",5,B62="I",2.5,B62="J",0)</f>
        <v>0</v>
      </c>
      <c r="F62" s="169" cm="1">
        <f t="array" ref="F62">_xlfn.IFS(C62="Espagne",175,C62="Maroc",135,C62="Portugal",140)</f>
        <v>175</v>
      </c>
      <c r="G62" s="170">
        <f t="shared" si="2"/>
        <v>175</v>
      </c>
      <c r="H62" s="170">
        <f t="shared" si="3"/>
        <v>5752250</v>
      </c>
      <c r="I62" s="171" cm="1">
        <f t="array" ref="I62">_xlfn.IFS(A62=1,1400000,A62=5,1725000,A62=12,2000000,A62=2,1225000,A62=20,1150000,A62=16,1150000,A62=9,1000000,A62=17,800000,A62=7,925000,A62=14,800000,A62=18,900000,A62=19,900000,A62=4,700000,A62=6,700000,A62=13,800000,A62=15,800000,A62=3,600000,A62=8,600000,A62=10,500000,A62=11,550000)</f>
        <v>600000</v>
      </c>
      <c r="J62" s="170">
        <f t="shared" si="4"/>
        <v>5152250</v>
      </c>
      <c r="K62" s="175">
        <f>IF(Comparaison!$D62&lt;=50000,0,1)</f>
        <v>0</v>
      </c>
      <c r="M62" s="173">
        <v>15</v>
      </c>
      <c r="N62" s="167" t="s">
        <v>78</v>
      </c>
      <c r="O62" s="167" t="str" cm="1">
        <f t="array" ref="O62">_xlfn.IFS(M62&lt;=11,"Espagne",M62&lt;=17,"Maroc",M62&lt;=20,"Portugal")</f>
        <v>Maroc</v>
      </c>
      <c r="P62" s="168" cm="1">
        <f t="array" ref="P62">_xlfn.IFS(M62=1,85000,M62=5,105000,M62=12,115000,M62=2,66975,M62=20,64600,M62=16,63050,M62=9,55872,M62=17,59800,M62=7,49036,M62=14,44296,M62=18,47000,M62=19,47595,M62=4,37260,M62=6,40608,M62=13,44135,M62=15,41850,M62=3,30576,M62=8,32870,M62=10,26100,M62=11,28796)</f>
        <v>41850</v>
      </c>
      <c r="Q62" s="169" cm="1">
        <f t="array" ref="Q62">_xlfn.IFS(N62="A",22.5,N62="B",20,N62="C",17.5,N62="D",15,N62="E",12.5,N62="F",10,N62="G",7.5,N62="H",5,N62="I",2.5,N62="J",0)</f>
        <v>0</v>
      </c>
      <c r="R62" s="169" cm="1">
        <f t="array" ref="R62">_xlfn.IFS(O62="Espagne",175,O62="Maroc",135,O62="Portugal",140)</f>
        <v>135</v>
      </c>
      <c r="S62" s="170">
        <f t="shared" si="5"/>
        <v>135</v>
      </c>
      <c r="T62" s="170">
        <f t="shared" si="6"/>
        <v>5649750</v>
      </c>
      <c r="U62" s="170" cm="1">
        <f t="array" ref="U62">_xlfn.IFS(M62=1,1400000,M62=5,1725000,M62=12,2000000,M62=2,1225000,M62=20,1150000,M62=16,1150000,M62=9,1000000,M62=17,800000,M62=7,925000,M62=14,800000,M62=18,900000,M62=19,900000,M62=4,700000,M62=6,700000,M62=13,800000,M62=15,800000,M62=3,600000,M62=8,600000,M62=10,500000,M62=11,550000)</f>
        <v>800000</v>
      </c>
      <c r="V62" s="180" cm="1">
        <f t="array" ref="V62">_xlfn.IFS(M62=1,1.25%,M62=5,1.25%,M62=12,1.5%,M62=2,2.25%,M62=20,1.75%,M62=16,1.5%,M62=9,2.25%,M62=17,1.25%,M62=7,1.75%,M62=14,2%,M62=18,1.75%,M62=19,1.75%,M62=4,2%,M62=6,2.25%,M62=13,1.5%,M62=15,2%,M62=3,2.25%,M62=8,1.5%,M62=10,1.75%,M62=11,2%)</f>
        <v>0.02</v>
      </c>
      <c r="W62" s="170">
        <f>Comparaison!$V62*Comparaison!$S62*Comparaison!$P62</f>
        <v>112995.00000000001</v>
      </c>
      <c r="X62" s="170">
        <f>T62-Comparaison!$U62-Comparaison!$W62</f>
        <v>4736755</v>
      </c>
      <c r="Y62" s="175">
        <f>IF(Comparaison!$P62&lt;=50000,0,1)</f>
        <v>0</v>
      </c>
    </row>
    <row r="63" spans="1:25">
      <c r="A63" s="172">
        <v>10</v>
      </c>
      <c r="B63" s="162" t="s">
        <v>78</v>
      </c>
      <c r="C63" s="162" t="str" cm="1">
        <f t="array" ref="C63">_xlfn.IFS(A63&lt;=11,"Espagne",A63&lt;=17,"Maroc",A63&lt;=20,"Portugal")</f>
        <v>Espagne</v>
      </c>
      <c r="D63" s="163" cm="1">
        <f t="array" ref="D63">_xlfn.IFS(A63=1,85000,A63=5,105000,A63=12,115000,A63=2,66975,A63=20,64600,A63=16,63050,A63=9,55872,A63=17,59800,A63=7,49036,A63=14,44296,A63=18,47000,A63=19,47595,A63=4,37260,A63=6,40608,A63=13,44135,A63=15,41850,A63=3,30576,A63=8,32870,A63=10,26100,A63=11,28796)</f>
        <v>26100</v>
      </c>
      <c r="E63" s="169" cm="1">
        <f t="array" ref="E63">_xlfn.IFS(B63="A",22.5,B63="B",20,B63="C",17.5,B63="D",15,B63="E",12.5,B63="F",10,B63="G",7.5,B63="H",5,B63="I",2.5,B63="J",0)</f>
        <v>0</v>
      </c>
      <c r="F63" s="169" cm="1">
        <f t="array" ref="F63">_xlfn.IFS(C63="Espagne",175,C63="Maroc",135,C63="Portugal",140)</f>
        <v>175</v>
      </c>
      <c r="G63" s="165">
        <f t="shared" si="2"/>
        <v>175</v>
      </c>
      <c r="H63" s="165">
        <f t="shared" si="3"/>
        <v>4567500</v>
      </c>
      <c r="I63" s="166" cm="1">
        <f t="array" ref="I63">_xlfn.IFS(A63=1,1400000,A63=5,1725000,A63=12,2000000,A63=2,1225000,A63=20,1150000,A63=16,1150000,A63=9,1000000,A63=17,800000,A63=7,925000,A63=14,800000,A63=18,900000,A63=19,900000,A63=4,700000,A63=6,700000,A63=13,800000,A63=15,800000,A63=3,600000,A63=8,600000,A63=10,500000,A63=11,550000)</f>
        <v>500000</v>
      </c>
      <c r="J63" s="165">
        <f t="shared" si="4"/>
        <v>4067500</v>
      </c>
      <c r="K63" s="176">
        <f>IF(Comparaison!$D63&lt;=50000,0,1)</f>
        <v>0</v>
      </c>
      <c r="M63" s="172">
        <v>16</v>
      </c>
      <c r="N63" s="162" t="s">
        <v>78</v>
      </c>
      <c r="O63" s="162" t="str" cm="1">
        <f t="array" ref="O63">_xlfn.IFS(M63&lt;=11,"Espagne",M63&lt;=17,"Maroc",M63&lt;=20,"Portugal")</f>
        <v>Maroc</v>
      </c>
      <c r="P63" s="163" cm="1">
        <f t="array" ref="P63">_xlfn.IFS(M63=1,85000,M63=5,105000,M63=12,115000,M63=2,66975,M63=20,64600,M63=16,63050,M63=9,55872,M63=17,59800,M63=7,49036,M63=14,44296,M63=18,47000,M63=19,47595,M63=4,37260,M63=6,40608,M63=13,44135,M63=15,41850,M63=3,30576,M63=8,32870,M63=10,26100,M63=11,28796)</f>
        <v>63050</v>
      </c>
      <c r="Q63" s="169" cm="1">
        <f t="array" ref="Q63">_xlfn.IFS(N63="A",22.5,N63="B",20,N63="C",17.5,N63="D",15,N63="E",12.5,N63="F",10,N63="G",7.5,N63="H",5,N63="I",2.5,N63="J",0)</f>
        <v>0</v>
      </c>
      <c r="R63" s="169" cm="1">
        <f t="array" ref="R63">_xlfn.IFS(O63="Espagne",175,O63="Maroc",135,O63="Portugal",140)</f>
        <v>135</v>
      </c>
      <c r="S63" s="165">
        <f t="shared" si="5"/>
        <v>135</v>
      </c>
      <c r="T63" s="165">
        <f t="shared" si="6"/>
        <v>8511750</v>
      </c>
      <c r="U63" s="165" cm="1">
        <f t="array" ref="U63">_xlfn.IFS(M63=1,1400000,M63=5,1725000,M63=12,2000000,M63=2,1225000,M63=20,1150000,M63=16,1150000,M63=9,1000000,M63=17,800000,M63=7,925000,M63=14,800000,M63=18,900000,M63=19,900000,M63=4,700000,M63=6,700000,M63=13,800000,M63=15,800000,M63=3,600000,M63=8,600000,M63=10,500000,M63=11,550000)</f>
        <v>1150000</v>
      </c>
      <c r="V63" s="179" cm="1">
        <f t="array" ref="V63">_xlfn.IFS(M63=1,1.25%,M63=5,1.25%,M63=12,1.5%,M63=2,2.25%,M63=20,1.75%,M63=16,1.5%,M63=9,2.25%,M63=17,1.25%,M63=7,1.75%,M63=14,2%,M63=18,1.75%,M63=19,1.75%,M63=4,2%,M63=6,2.25%,M63=13,1.5%,M63=15,2%,M63=3,2.25%,M63=8,1.5%,M63=10,1.75%,M63=11,2%)</f>
        <v>1.4999999999999999E-2</v>
      </c>
      <c r="W63" s="165">
        <f>Comparaison!$V63*Comparaison!$S63*Comparaison!$P63</f>
        <v>127676.25</v>
      </c>
      <c r="X63" s="165">
        <f>T63-Comparaison!$U63-Comparaison!$W63</f>
        <v>7234073.75</v>
      </c>
      <c r="Y63" s="176">
        <f>IF(Comparaison!$P63&lt;=50000,0,1)</f>
        <v>1</v>
      </c>
    </row>
    <row r="64" spans="1:25">
      <c r="A64" s="173">
        <v>11</v>
      </c>
      <c r="B64" s="167" t="s">
        <v>78</v>
      </c>
      <c r="C64" s="167" t="str" cm="1">
        <f t="array" ref="C64">_xlfn.IFS(A64&lt;=11,"Espagne",A64&lt;=17,"Maroc",A64&lt;=20,"Portugal")</f>
        <v>Espagne</v>
      </c>
      <c r="D64" s="168" cm="1">
        <f t="array" ref="D64">_xlfn.IFS(A64=1,85000,A64=5,105000,A64=12,115000,A64=2,66975,A64=20,64600,A64=16,63050,A64=9,55872,A64=17,59800,A64=7,49036,A64=14,44296,A64=18,47000,A64=19,47595,A64=4,37260,A64=6,40608,A64=13,44135,A64=15,41850,A64=3,30576,A64=8,32870,A64=10,26100,A64=11,28796)</f>
        <v>28796</v>
      </c>
      <c r="E64" s="169" cm="1">
        <f t="array" ref="E64">_xlfn.IFS(B64="A",22.5,B64="B",20,B64="C",17.5,B64="D",15,B64="E",12.5,B64="F",10,B64="G",7.5,B64="H",5,B64="I",2.5,B64="J",0)</f>
        <v>0</v>
      </c>
      <c r="F64" s="169" cm="1">
        <f t="array" ref="F64">_xlfn.IFS(C64="Espagne",175,C64="Maroc",135,C64="Portugal",140)</f>
        <v>175</v>
      </c>
      <c r="G64" s="170">
        <f t="shared" si="2"/>
        <v>175</v>
      </c>
      <c r="H64" s="170">
        <f t="shared" si="3"/>
        <v>5039300</v>
      </c>
      <c r="I64" s="171" cm="1">
        <f t="array" ref="I64">_xlfn.IFS(A64=1,1400000,A64=5,1725000,A64=12,2000000,A64=2,1225000,A64=20,1150000,A64=16,1150000,A64=9,1000000,A64=17,800000,A64=7,925000,A64=14,800000,A64=18,900000,A64=19,900000,A64=4,700000,A64=6,700000,A64=13,800000,A64=15,800000,A64=3,600000,A64=8,600000,A64=10,500000,A64=11,550000)</f>
        <v>550000</v>
      </c>
      <c r="J64" s="170">
        <f t="shared" si="4"/>
        <v>4489300</v>
      </c>
      <c r="K64" s="175">
        <f>IF(Comparaison!$D64&lt;=50000,0,1)</f>
        <v>0</v>
      </c>
      <c r="M64" s="173">
        <v>17</v>
      </c>
      <c r="N64" s="167" t="s">
        <v>78</v>
      </c>
      <c r="O64" s="167" t="str" cm="1">
        <f t="array" ref="O64">_xlfn.IFS(M64&lt;=11,"Espagne",M64&lt;=17,"Maroc",M64&lt;=20,"Portugal")</f>
        <v>Maroc</v>
      </c>
      <c r="P64" s="168" cm="1">
        <f t="array" ref="P64">_xlfn.IFS(M64=1,85000,M64=5,105000,M64=12,115000,M64=2,66975,M64=20,64600,M64=16,63050,M64=9,55872,M64=17,59800,M64=7,49036,M64=14,44296,M64=18,47000,M64=19,47595,M64=4,37260,M64=6,40608,M64=13,44135,M64=15,41850,M64=3,30576,M64=8,32870,M64=10,26100,M64=11,28796)</f>
        <v>59800</v>
      </c>
      <c r="Q64" s="169" cm="1">
        <f t="array" ref="Q64">_xlfn.IFS(N64="A",22.5,N64="B",20,N64="C",17.5,N64="D",15,N64="E",12.5,N64="F",10,N64="G",7.5,N64="H",5,N64="I",2.5,N64="J",0)</f>
        <v>0</v>
      </c>
      <c r="R64" s="169" cm="1">
        <f t="array" ref="R64">_xlfn.IFS(O64="Espagne",175,O64="Maroc",135,O64="Portugal",140)</f>
        <v>135</v>
      </c>
      <c r="S64" s="170">
        <f t="shared" si="5"/>
        <v>135</v>
      </c>
      <c r="T64" s="170">
        <f t="shared" si="6"/>
        <v>8073000</v>
      </c>
      <c r="U64" s="170" cm="1">
        <f t="array" ref="U64">_xlfn.IFS(M64=1,1400000,M64=5,1725000,M64=12,2000000,M64=2,1225000,M64=20,1150000,M64=16,1150000,M64=9,1000000,M64=17,800000,M64=7,925000,M64=14,800000,M64=18,900000,M64=19,900000,M64=4,700000,M64=6,700000,M64=13,800000,M64=15,800000,M64=3,600000,M64=8,600000,M64=10,500000,M64=11,550000)</f>
        <v>800000</v>
      </c>
      <c r="V64" s="180" cm="1">
        <f t="array" ref="V64">_xlfn.IFS(M64=1,1.25%,M64=5,1.25%,M64=12,1.5%,M64=2,2.25%,M64=20,1.75%,M64=16,1.5%,M64=9,2.25%,M64=17,1.25%,M64=7,1.75%,M64=14,2%,M64=18,1.75%,M64=19,1.75%,M64=4,2%,M64=6,2.25%,M64=13,1.5%,M64=15,2%,M64=3,2.25%,M64=8,1.5%,M64=10,1.75%,M64=11,2%)</f>
        <v>1.2500000000000001E-2</v>
      </c>
      <c r="W64" s="170">
        <f>Comparaison!$V64*Comparaison!$S64*Comparaison!$P64</f>
        <v>100912.5</v>
      </c>
      <c r="X64" s="170">
        <f>T64-Comparaison!$U64-Comparaison!$W64</f>
        <v>7172087.5</v>
      </c>
      <c r="Y64" s="175">
        <f>IF(Comparaison!$P64&lt;=50000,0,1)</f>
        <v>1</v>
      </c>
    </row>
    <row r="66" spans="2:26">
      <c r="V66" s="144"/>
    </row>
    <row r="67" spans="2:26">
      <c r="K67" s="146" t="s">
        <v>1439</v>
      </c>
      <c r="Q67" s="146" t="s">
        <v>1439</v>
      </c>
      <c r="Z67" s="146" t="s">
        <v>1439</v>
      </c>
    </row>
    <row r="68" spans="2:26">
      <c r="E68" s="147" t="s">
        <v>1439</v>
      </c>
      <c r="H68" s="281" t="s">
        <v>1410</v>
      </c>
      <c r="I68" s="281"/>
      <c r="J68" s="132">
        <f>+SUM(J5:J10)</f>
        <v>101025000</v>
      </c>
      <c r="K68" s="133">
        <f t="shared" ref="K68:K78" si="7">J68/J$78</f>
        <v>0.1680373737075011</v>
      </c>
      <c r="N68" s="279" t="s">
        <v>1429</v>
      </c>
      <c r="O68" s="280"/>
      <c r="P68" s="140">
        <f>+SUM(P5:P10)</f>
        <v>475700</v>
      </c>
      <c r="Q68" s="133">
        <f t="shared" ref="Q68:Q78" si="8">P68/P$78</f>
        <v>0.1218124733207125</v>
      </c>
      <c r="W68" s="279" t="s">
        <v>1410</v>
      </c>
      <c r="X68" s="280"/>
      <c r="Y68" s="132">
        <f>+SUM(X5:X10)</f>
        <v>65946001.25</v>
      </c>
      <c r="Z68" s="133">
        <f>Y68/Y$78</f>
        <v>0.11221037789832569</v>
      </c>
    </row>
    <row r="69" spans="2:26">
      <c r="B69" s="135" t="s">
        <v>1429</v>
      </c>
      <c r="C69" s="131"/>
      <c r="D69" s="140">
        <f>+SUM(D5:D10)</f>
        <v>610000</v>
      </c>
      <c r="E69" s="144">
        <f t="shared" ref="E69:E79" si="9">D69/D$79</f>
        <v>0.15592369452247729</v>
      </c>
      <c r="H69" s="281" t="s">
        <v>1411</v>
      </c>
      <c r="I69" s="281"/>
      <c r="J69" s="132">
        <f>SUM(J11:J16)</f>
        <v>99500000</v>
      </c>
      <c r="K69" s="133">
        <f t="shared" si="7"/>
        <v>0.16550080360204267</v>
      </c>
      <c r="N69" s="279" t="s">
        <v>1430</v>
      </c>
      <c r="O69" s="280"/>
      <c r="P69" s="140">
        <f>SUM(P11:P16)</f>
        <v>513950</v>
      </c>
      <c r="Q69" s="133">
        <f t="shared" si="8"/>
        <v>0.13160714875589696</v>
      </c>
      <c r="W69" s="279" t="s">
        <v>1411</v>
      </c>
      <c r="X69" s="280"/>
      <c r="Y69" s="132">
        <f>SUM(X11:X16)</f>
        <v>90006294.375</v>
      </c>
      <c r="Z69" s="133">
        <f t="shared" ref="Z69:Z78" si="10">Y69/Y$78</f>
        <v>0.15315015487837022</v>
      </c>
    </row>
    <row r="70" spans="2:26">
      <c r="B70" s="135" t="s">
        <v>1430</v>
      </c>
      <c r="C70" s="131"/>
      <c r="D70" s="140">
        <f>SUM(D11:D16)</f>
        <v>610000</v>
      </c>
      <c r="E70" s="144">
        <f t="shared" si="9"/>
        <v>0.15592369452247729</v>
      </c>
      <c r="H70" s="281" t="s">
        <v>1412</v>
      </c>
      <c r="I70" s="281"/>
      <c r="J70" s="132">
        <f>+SUM(J17:J22)</f>
        <v>81347375</v>
      </c>
      <c r="K70" s="133">
        <f t="shared" si="7"/>
        <v>0.13530709480820818</v>
      </c>
      <c r="N70" s="279" t="s">
        <v>1431</v>
      </c>
      <c r="O70" s="280"/>
      <c r="P70" s="140">
        <f>+SUM(P17:P22)</f>
        <v>511575</v>
      </c>
      <c r="Q70" s="133">
        <f t="shared" si="8"/>
        <v>0.13099898263410448</v>
      </c>
      <c r="W70" s="279" t="s">
        <v>1412</v>
      </c>
      <c r="X70" s="280"/>
      <c r="Y70" s="132">
        <f>+SUM(X17:X22)</f>
        <v>86209673.28125</v>
      </c>
      <c r="Z70" s="133">
        <f t="shared" si="10"/>
        <v>0.14669001658959957</v>
      </c>
    </row>
    <row r="71" spans="2:26">
      <c r="B71" s="135" t="s">
        <v>1431</v>
      </c>
      <c r="C71" s="131"/>
      <c r="D71" s="140">
        <f>+SUM(D17:D22)</f>
        <v>503550</v>
      </c>
      <c r="E71" s="144">
        <f t="shared" si="9"/>
        <v>0.12871373176523515</v>
      </c>
      <c r="H71" s="281" t="s">
        <v>1413</v>
      </c>
      <c r="I71" s="281"/>
      <c r="J71" s="132">
        <f>SUM(J23:J28)</f>
        <v>57341500</v>
      </c>
      <c r="K71" s="133">
        <f t="shared" si="7"/>
        <v>9.5377530952226425E-2</v>
      </c>
      <c r="N71" s="279" t="s">
        <v>1432</v>
      </c>
      <c r="O71" s="280"/>
      <c r="P71" s="140">
        <f>SUM(P23:P28)</f>
        <v>475700</v>
      </c>
      <c r="Q71" s="133">
        <f t="shared" si="8"/>
        <v>0.1218124733207125</v>
      </c>
      <c r="W71" s="279" t="s">
        <v>1413</v>
      </c>
      <c r="X71" s="280"/>
      <c r="Y71" s="132">
        <f>SUM(X23:X28)</f>
        <v>62429525</v>
      </c>
      <c r="Z71" s="133">
        <f t="shared" si="10"/>
        <v>0.10622691989626848</v>
      </c>
    </row>
    <row r="72" spans="2:26">
      <c r="B72" s="135" t="s">
        <v>1432</v>
      </c>
      <c r="C72" s="131"/>
      <c r="D72" s="140">
        <f>SUM(D23:D28)</f>
        <v>389250</v>
      </c>
      <c r="E72" s="144">
        <f t="shared" si="9"/>
        <v>9.94972099883185E-2</v>
      </c>
      <c r="H72" s="281" t="s">
        <v>1414</v>
      </c>
      <c r="I72" s="281"/>
      <c r="J72" s="132">
        <f>+SUM(J29:J34)</f>
        <v>54382187.5</v>
      </c>
      <c r="K72" s="133">
        <f t="shared" si="7"/>
        <v>9.0455233496351345E-2</v>
      </c>
      <c r="N72" s="279" t="s">
        <v>1437</v>
      </c>
      <c r="O72" s="280"/>
      <c r="P72" s="140">
        <f>+SUM(P29:P34)</f>
        <v>442047</v>
      </c>
      <c r="Q72" s="133">
        <f t="shared" si="8"/>
        <v>0.11319495142737229</v>
      </c>
      <c r="W72" s="279" t="s">
        <v>1414</v>
      </c>
      <c r="X72" s="280"/>
      <c r="Y72" s="132">
        <f>+SUM(X29:X34)</f>
        <v>69403436.71875</v>
      </c>
      <c r="Z72" s="133">
        <f t="shared" si="10"/>
        <v>0.11809337509533181</v>
      </c>
    </row>
    <row r="73" spans="2:26">
      <c r="B73" s="135" t="s">
        <v>1437</v>
      </c>
      <c r="C73" s="131"/>
      <c r="D73" s="140">
        <f>+SUM(D29:D34)</f>
        <v>374897</v>
      </c>
      <c r="E73" s="144">
        <f t="shared" si="9"/>
        <v>9.5828402139988805E-2</v>
      </c>
      <c r="H73" s="281" t="s">
        <v>1415</v>
      </c>
      <c r="I73" s="281"/>
      <c r="J73" s="132">
        <f>+SUM(J35:J40)</f>
        <v>50399140</v>
      </c>
      <c r="K73" s="133">
        <f t="shared" si="7"/>
        <v>8.3830132370370375E-2</v>
      </c>
      <c r="N73" s="279" t="s">
        <v>1433</v>
      </c>
      <c r="O73" s="280"/>
      <c r="P73" s="140">
        <f>+SUM(P35:P40)</f>
        <v>356955</v>
      </c>
      <c r="Q73" s="133">
        <f t="shared" si="8"/>
        <v>9.1405447580817589E-2</v>
      </c>
      <c r="W73" s="279" t="s">
        <v>1415</v>
      </c>
      <c r="X73" s="280"/>
      <c r="Y73" s="132">
        <f>+SUM(X35:X40)</f>
        <v>53822853.112499997</v>
      </c>
      <c r="Z73" s="133">
        <f t="shared" si="10"/>
        <v>9.1582242635518396E-2</v>
      </c>
    </row>
    <row r="74" spans="2:26">
      <c r="B74" s="135" t="s">
        <v>1433</v>
      </c>
      <c r="C74" s="131"/>
      <c r="D74" s="140">
        <f>+SUM(D35:D40)</f>
        <v>357444</v>
      </c>
      <c r="E74" s="144">
        <f t="shared" si="9"/>
        <v>9.1367195188348155E-2</v>
      </c>
      <c r="H74" s="281" t="s">
        <v>1416</v>
      </c>
      <c r="I74" s="281"/>
      <c r="J74" s="132">
        <f>SUM(J41:J46)</f>
        <v>49884420</v>
      </c>
      <c r="K74" s="133">
        <f t="shared" si="7"/>
        <v>8.2973985901726721E-2</v>
      </c>
      <c r="N74" s="279" t="s">
        <v>1434</v>
      </c>
      <c r="O74" s="280"/>
      <c r="P74" s="140">
        <f>SUM(P41:P46)</f>
        <v>298019</v>
      </c>
      <c r="Q74" s="133">
        <f t="shared" si="8"/>
        <v>7.631370924230696E-2</v>
      </c>
      <c r="W74" s="279" t="s">
        <v>1416</v>
      </c>
      <c r="X74" s="280"/>
      <c r="Y74" s="132">
        <f>SUM(X41:X46)</f>
        <v>46210975.056250006</v>
      </c>
      <c r="Z74" s="133">
        <f t="shared" si="10"/>
        <v>7.8630256206958654E-2</v>
      </c>
    </row>
    <row r="75" spans="2:26">
      <c r="B75" s="135" t="s">
        <v>1434</v>
      </c>
      <c r="C75" s="131"/>
      <c r="D75" s="140">
        <f>SUM(D41:D46)</f>
        <v>329416</v>
      </c>
      <c r="E75" s="144">
        <f t="shared" si="9"/>
        <v>8.4202884843961281E-2</v>
      </c>
      <c r="H75" s="281" t="s">
        <v>1417</v>
      </c>
      <c r="I75" s="281"/>
      <c r="J75" s="132">
        <f>+SUM(J47:J52)</f>
        <v>39121950</v>
      </c>
      <c r="K75" s="133">
        <f t="shared" si="7"/>
        <v>6.507250415556716E-2</v>
      </c>
      <c r="N75" s="279" t="s">
        <v>1435</v>
      </c>
      <c r="O75" s="280"/>
      <c r="P75" s="140">
        <f>+SUM(P47:P52)</f>
        <v>263548</v>
      </c>
      <c r="Q75" s="133">
        <f t="shared" si="8"/>
        <v>6.7486722133124108E-2</v>
      </c>
      <c r="W75" s="279" t="s">
        <v>1417</v>
      </c>
      <c r="X75" s="280"/>
      <c r="Y75" s="132">
        <f>+SUM(X47:X52)</f>
        <v>40052389.899999999</v>
      </c>
      <c r="Z75" s="133">
        <f t="shared" si="10"/>
        <v>6.8151119419239736E-2</v>
      </c>
    </row>
    <row r="76" spans="2:26">
      <c r="B76" s="135" t="s">
        <v>1435</v>
      </c>
      <c r="C76" s="131"/>
      <c r="D76" s="140">
        <f>+SUM(D47:D52)</f>
        <v>284558</v>
      </c>
      <c r="E76" s="144">
        <f t="shared" si="9"/>
        <v>7.2736614206437858E-2</v>
      </c>
      <c r="H76" s="281" t="s">
        <v>1418</v>
      </c>
      <c r="I76" s="281"/>
      <c r="J76" s="132">
        <f>SUM(J53:J58)</f>
        <v>36931317.5</v>
      </c>
      <c r="K76" s="133">
        <f t="shared" si="7"/>
        <v>6.1428771098815886E-2</v>
      </c>
      <c r="N76" s="279" t="s">
        <v>1436</v>
      </c>
      <c r="O76" s="280"/>
      <c r="P76" s="140">
        <f>SUM(P53:P58)</f>
        <v>199558</v>
      </c>
      <c r="Q76" s="133">
        <f t="shared" si="8"/>
        <v>5.110080628743903E-2</v>
      </c>
      <c r="W76" s="279" t="s">
        <v>1418</v>
      </c>
      <c r="X76" s="280"/>
      <c r="Y76" s="132">
        <f>SUM(X53:X58)</f>
        <v>31054260.399999999</v>
      </c>
      <c r="Z76" s="133">
        <f t="shared" si="10"/>
        <v>5.2840357698519448E-2</v>
      </c>
    </row>
    <row r="77" spans="2:26">
      <c r="B77" s="135" t="s">
        <v>1436</v>
      </c>
      <c r="C77" s="131"/>
      <c r="D77" s="140">
        <f>SUM(D53:D58)</f>
        <v>253497</v>
      </c>
      <c r="E77" s="144">
        <f t="shared" si="9"/>
        <v>6.479703080387611E-2</v>
      </c>
      <c r="H77" s="281" t="s">
        <v>1419</v>
      </c>
      <c r="I77" s="281"/>
      <c r="J77" s="132">
        <f>SUM(J59:J64)</f>
        <v>31272650</v>
      </c>
      <c r="K77" s="133">
        <f t="shared" si="7"/>
        <v>5.2016569907190141E-2</v>
      </c>
      <c r="N77" s="279" t="s">
        <v>1438</v>
      </c>
      <c r="O77" s="280"/>
      <c r="P77" s="140">
        <f>SUM(P59:P64)</f>
        <v>368131</v>
      </c>
      <c r="Q77" s="133">
        <f t="shared" si="8"/>
        <v>9.4267285297513589E-2</v>
      </c>
      <c r="W77" s="279" t="s">
        <v>1419</v>
      </c>
      <c r="X77" s="280"/>
      <c r="Y77" s="132">
        <f>SUM(X59:X64)</f>
        <v>42564253.674999997</v>
      </c>
      <c r="Z77" s="133">
        <f t="shared" si="10"/>
        <v>7.2425179681868096E-2</v>
      </c>
    </row>
    <row r="78" spans="2:26">
      <c r="B78" s="135" t="s">
        <v>1438</v>
      </c>
      <c r="C78" s="131"/>
      <c r="D78" s="140">
        <f>SUM(D59:D64)</f>
        <v>199558</v>
      </c>
      <c r="E78" s="144">
        <f t="shared" si="9"/>
        <v>5.1009542018879549E-2</v>
      </c>
      <c r="H78" s="284" t="s">
        <v>94</v>
      </c>
      <c r="I78" s="284"/>
      <c r="J78" s="143">
        <f>SUM(J68:J77)</f>
        <v>601205540</v>
      </c>
      <c r="K78" s="134">
        <f t="shared" si="7"/>
        <v>1</v>
      </c>
      <c r="N78" s="282" t="s">
        <v>94</v>
      </c>
      <c r="O78" s="283"/>
      <c r="P78" s="142">
        <f>SUM(P68:P77)</f>
        <v>3905183</v>
      </c>
      <c r="Q78" s="134">
        <f t="shared" si="8"/>
        <v>1</v>
      </c>
      <c r="W78" s="284" t="s">
        <v>94</v>
      </c>
      <c r="X78" s="284"/>
      <c r="Y78" s="143">
        <f>SUM(Y68:Y77)</f>
        <v>587699662.76874995</v>
      </c>
      <c r="Z78" s="134">
        <f t="shared" si="10"/>
        <v>1</v>
      </c>
    </row>
    <row r="79" spans="2:26">
      <c r="B79" s="145" t="s">
        <v>94</v>
      </c>
      <c r="C79" s="141"/>
      <c r="D79" s="142">
        <f>SUM(D69:D78)</f>
        <v>3912170</v>
      </c>
      <c r="E79" s="144">
        <f t="shared" si="9"/>
        <v>1</v>
      </c>
    </row>
  </sheetData>
  <mergeCells count="33">
    <mergeCell ref="N78:O78"/>
    <mergeCell ref="H78:I78"/>
    <mergeCell ref="W78:X78"/>
    <mergeCell ref="N73:O73"/>
    <mergeCell ref="N74:O74"/>
    <mergeCell ref="N75:O75"/>
    <mergeCell ref="N76:O76"/>
    <mergeCell ref="N77:O77"/>
    <mergeCell ref="H73:I73"/>
    <mergeCell ref="H74:I74"/>
    <mergeCell ref="H75:I75"/>
    <mergeCell ref="H76:I76"/>
    <mergeCell ref="H77:I77"/>
    <mergeCell ref="W74:X74"/>
    <mergeCell ref="W75:X75"/>
    <mergeCell ref="W76:X76"/>
    <mergeCell ref="N68:O68"/>
    <mergeCell ref="N69:O69"/>
    <mergeCell ref="N70:O70"/>
    <mergeCell ref="N71:O71"/>
    <mergeCell ref="N72:O72"/>
    <mergeCell ref="H68:I68"/>
    <mergeCell ref="H69:I69"/>
    <mergeCell ref="H70:I70"/>
    <mergeCell ref="H71:I71"/>
    <mergeCell ref="H72:I72"/>
    <mergeCell ref="W68:X68"/>
    <mergeCell ref="W73:X73"/>
    <mergeCell ref="W77:X77"/>
    <mergeCell ref="W72:X72"/>
    <mergeCell ref="W71:X71"/>
    <mergeCell ref="W70:X70"/>
    <mergeCell ref="W69:X69"/>
  </mergeCells>
  <pageMargins left="0.7" right="0.7" top="0.75" bottom="0.75" header="0.3" footer="0.3"/>
  <tableParts count="6">
    <tablePart r:id="rId1"/>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291FC-C16E-44E0-B67C-23E3509B73E1}">
  <dimension ref="A3:R92"/>
  <sheetViews>
    <sheetView topLeftCell="C87" workbookViewId="0">
      <selection activeCell="N5" sqref="N5:R10"/>
    </sheetView>
  </sheetViews>
  <sheetFormatPr baseColWidth="10" defaultRowHeight="14.25"/>
  <cols>
    <col min="2" max="2" width="19" customWidth="1"/>
    <col min="3" max="3" width="16.86328125" customWidth="1"/>
    <col min="4" max="4" width="9.73046875" customWidth="1"/>
    <col min="5" max="5" width="11.3984375" bestFit="1" customWidth="1"/>
    <col min="12" max="12" width="14.86328125" customWidth="1"/>
    <col min="13" max="13" width="20.73046875" customWidth="1"/>
    <col min="14" max="14" width="14.3984375" customWidth="1"/>
    <col min="15" max="15" width="15.265625" customWidth="1"/>
    <col min="16" max="16" width="10.73046875" bestFit="1" customWidth="1"/>
    <col min="18" max="18" width="14.265625" bestFit="1" customWidth="1"/>
  </cols>
  <sheetData>
    <row r="3" spans="2:18">
      <c r="B3" s="137" t="s">
        <v>79</v>
      </c>
      <c r="K3" s="138" t="s">
        <v>1409</v>
      </c>
      <c r="O3" s="285" t="s">
        <v>1442</v>
      </c>
      <c r="P3" s="285"/>
      <c r="Q3" s="285"/>
    </row>
    <row r="5" spans="2:18">
      <c r="B5" t="s">
        <v>1422</v>
      </c>
      <c r="C5" s="126">
        <f>MIN(Comparaison!$J$5:$J$64)</f>
        <v>4067500</v>
      </c>
      <c r="K5" t="s">
        <v>1422</v>
      </c>
      <c r="L5" s="126">
        <f>MIN(Comparaison!$X$5:$X$64)</f>
        <v>4051676.875</v>
      </c>
      <c r="N5" t="s">
        <v>1428</v>
      </c>
      <c r="O5" s="128" t="s">
        <v>1452</v>
      </c>
      <c r="P5" s="128" t="s">
        <v>67</v>
      </c>
      <c r="Q5" s="128" t="s">
        <v>1449</v>
      </c>
      <c r="R5" s="161" t="s">
        <v>1441</v>
      </c>
    </row>
    <row r="6" spans="2:18">
      <c r="B6" t="s">
        <v>1423</v>
      </c>
      <c r="C6" s="126">
        <f>+MAX(Comparaison!$J$5:$J$64)</f>
        <v>19012500</v>
      </c>
      <c r="K6" t="s">
        <v>1423</v>
      </c>
      <c r="L6" s="126">
        <f>MAX(Comparaison!$X$5:$X$64)</f>
        <v>18494062.5</v>
      </c>
      <c r="N6" s="84" t="s">
        <v>1422</v>
      </c>
      <c r="O6" s="84" t="s">
        <v>1450</v>
      </c>
      <c r="P6" s="128" t="s">
        <v>78</v>
      </c>
      <c r="Q6" s="84">
        <v>1</v>
      </c>
      <c r="R6" s="159">
        <v>4067500</v>
      </c>
    </row>
    <row r="7" spans="2:18">
      <c r="B7" s="181" t="s">
        <v>1424</v>
      </c>
      <c r="C7" s="182">
        <f>AVERAGE(Comparaison!$J$5:$J$64)</f>
        <v>10020092.333333334</v>
      </c>
      <c r="K7" s="181" t="s">
        <v>1424</v>
      </c>
      <c r="L7" s="182">
        <f>AVERAGE(Comparaison!$X$5:$X$64)</f>
        <v>9794994.3794791698</v>
      </c>
      <c r="N7" s="130" t="s">
        <v>1423</v>
      </c>
      <c r="O7" s="130" t="s">
        <v>1451</v>
      </c>
      <c r="P7" s="129" t="s">
        <v>69</v>
      </c>
      <c r="Q7" s="130">
        <v>1</v>
      </c>
      <c r="R7" s="160">
        <v>19012500</v>
      </c>
    </row>
    <row r="8" spans="2:18">
      <c r="B8" s="181" t="s">
        <v>1425</v>
      </c>
      <c r="C8" s="182">
        <f>MEDIAN(Comparaison!$J$5:$J$64)</f>
        <v>8504500</v>
      </c>
      <c r="K8" s="181" t="s">
        <v>1425</v>
      </c>
      <c r="L8" s="182">
        <f>MEDIAN(Comparaison!$X$5:$X$64)</f>
        <v>8514933.75</v>
      </c>
      <c r="N8" t="s">
        <v>1409</v>
      </c>
      <c r="O8" s="128" t="s">
        <v>1452</v>
      </c>
      <c r="P8" s="128" t="s">
        <v>67</v>
      </c>
      <c r="Q8" s="128" t="s">
        <v>1448</v>
      </c>
      <c r="R8" s="161" t="s">
        <v>1441</v>
      </c>
    </row>
    <row r="9" spans="2:18">
      <c r="B9" s="181" t="s">
        <v>1426</v>
      </c>
      <c r="C9" s="182">
        <f>_xlfn.STDEV.S(Comparaison!$J$5:$J$64)</f>
        <v>4281601.5235588532</v>
      </c>
      <c r="K9" s="181" t="s">
        <v>1426</v>
      </c>
      <c r="L9" s="182">
        <f>_xlfn.STDEV.S(Comparaison!$X$5:$X$64)</f>
        <v>4061651.601645736</v>
      </c>
      <c r="N9" s="84" t="s">
        <v>1422</v>
      </c>
      <c r="O9" s="84" t="s">
        <v>1450</v>
      </c>
      <c r="P9" s="128" t="s">
        <v>77</v>
      </c>
      <c r="Q9" s="84">
        <v>1</v>
      </c>
      <c r="R9" s="159">
        <v>4051676.875</v>
      </c>
    </row>
    <row r="10" spans="2:18">
      <c r="B10" s="181" t="s">
        <v>1427</v>
      </c>
      <c r="C10" s="182">
        <f>C6-C5</f>
        <v>14945000</v>
      </c>
      <c r="K10" s="181" t="s">
        <v>1427</v>
      </c>
      <c r="L10" s="182">
        <f>L6-L5</f>
        <v>14442385.625</v>
      </c>
      <c r="N10" s="130" t="s">
        <v>1423</v>
      </c>
      <c r="O10" s="130" t="s">
        <v>1451</v>
      </c>
      <c r="P10" s="129" t="s">
        <v>70</v>
      </c>
      <c r="Q10" s="130">
        <v>1</v>
      </c>
      <c r="R10" s="160">
        <v>18494062.5</v>
      </c>
    </row>
    <row r="13" spans="2:18">
      <c r="N13" t="s">
        <v>1409</v>
      </c>
      <c r="O13" s="128" t="s">
        <v>1452</v>
      </c>
      <c r="P13" s="128" t="s">
        <v>67</v>
      </c>
      <c r="Q13" s="128" t="s">
        <v>1448</v>
      </c>
      <c r="R13" s="161" t="s">
        <v>1441</v>
      </c>
    </row>
    <row r="14" spans="2:18">
      <c r="N14" s="84" t="s">
        <v>1422</v>
      </c>
      <c r="O14" s="84" t="s">
        <v>1450</v>
      </c>
      <c r="P14" s="128" t="s">
        <v>77</v>
      </c>
      <c r="Q14" s="84">
        <v>1</v>
      </c>
      <c r="R14" s="159">
        <v>4051676.875</v>
      </c>
    </row>
    <row r="15" spans="2:18">
      <c r="N15" s="130" t="s">
        <v>1423</v>
      </c>
      <c r="O15" s="130" t="s">
        <v>1451</v>
      </c>
      <c r="P15" s="129" t="s">
        <v>70</v>
      </c>
      <c r="Q15" s="130">
        <v>1</v>
      </c>
      <c r="R15" s="160">
        <v>18494062.5</v>
      </c>
    </row>
    <row r="32" spans="2:12">
      <c r="B32" s="137" t="s">
        <v>79</v>
      </c>
      <c r="L32" s="138" t="s">
        <v>1409</v>
      </c>
    </row>
    <row r="34" spans="1:14" ht="14.25" customHeight="1">
      <c r="A34" t="s">
        <v>1429</v>
      </c>
      <c r="C34">
        <v>610000</v>
      </c>
      <c r="L34" t="s">
        <v>1429</v>
      </c>
      <c r="N34">
        <v>475700</v>
      </c>
    </row>
    <row r="35" spans="1:14">
      <c r="A35" t="s">
        <v>1430</v>
      </c>
      <c r="C35">
        <v>610000</v>
      </c>
      <c r="L35" t="s">
        <v>1430</v>
      </c>
      <c r="N35">
        <v>513950</v>
      </c>
    </row>
    <row r="36" spans="1:14">
      <c r="A36" t="s">
        <v>1431</v>
      </c>
      <c r="C36">
        <v>503550</v>
      </c>
      <c r="L36" t="s">
        <v>1431</v>
      </c>
      <c r="N36">
        <v>511575</v>
      </c>
    </row>
    <row r="37" spans="1:14">
      <c r="A37" t="s">
        <v>1432</v>
      </c>
      <c r="C37">
        <v>389250</v>
      </c>
      <c r="L37" t="s">
        <v>1432</v>
      </c>
      <c r="N37">
        <v>475700</v>
      </c>
    </row>
    <row r="38" spans="1:14">
      <c r="A38" t="s">
        <v>1437</v>
      </c>
      <c r="C38">
        <v>374897</v>
      </c>
      <c r="L38" t="s">
        <v>1437</v>
      </c>
      <c r="N38">
        <v>442047</v>
      </c>
    </row>
    <row r="39" spans="1:14">
      <c r="A39" t="s">
        <v>1433</v>
      </c>
      <c r="C39">
        <v>357444</v>
      </c>
      <c r="L39" t="s">
        <v>1433</v>
      </c>
      <c r="N39">
        <v>356955</v>
      </c>
    </row>
    <row r="40" spans="1:14">
      <c r="A40" t="s">
        <v>1434</v>
      </c>
      <c r="C40">
        <v>329416</v>
      </c>
      <c r="L40" t="s">
        <v>1434</v>
      </c>
      <c r="N40">
        <v>298019</v>
      </c>
    </row>
    <row r="41" spans="1:14">
      <c r="A41" t="s">
        <v>1435</v>
      </c>
      <c r="C41">
        <v>284558</v>
      </c>
      <c r="L41" t="s">
        <v>1435</v>
      </c>
      <c r="N41">
        <v>263548</v>
      </c>
    </row>
    <row r="42" spans="1:14">
      <c r="A42" t="s">
        <v>1436</v>
      </c>
      <c r="C42">
        <v>253497</v>
      </c>
      <c r="L42" t="s">
        <v>1436</v>
      </c>
      <c r="N42">
        <v>199558</v>
      </c>
    </row>
    <row r="43" spans="1:14">
      <c r="A43" t="s">
        <v>1438</v>
      </c>
      <c r="C43">
        <v>199558</v>
      </c>
      <c r="L43" t="s">
        <v>1438</v>
      </c>
      <c r="N43">
        <v>368131</v>
      </c>
    </row>
    <row r="44" spans="1:14">
      <c r="A44" t="s">
        <v>94</v>
      </c>
      <c r="C44">
        <v>3912170</v>
      </c>
      <c r="L44" t="s">
        <v>1440</v>
      </c>
      <c r="N44">
        <v>3905183</v>
      </c>
    </row>
    <row r="53" spans="1:16">
      <c r="B53" s="137" t="s">
        <v>79</v>
      </c>
      <c r="M53" s="138" t="s">
        <v>1409</v>
      </c>
    </row>
    <row r="55" spans="1:16">
      <c r="A55" t="s">
        <v>1410</v>
      </c>
      <c r="C55" s="148">
        <v>101025000</v>
      </c>
      <c r="D55" s="144">
        <v>0.16803737370750099</v>
      </c>
      <c r="M55" t="s">
        <v>1410</v>
      </c>
      <c r="O55" s="148">
        <v>65946001.25</v>
      </c>
      <c r="P55" s="144">
        <v>0.11221037789832569</v>
      </c>
    </row>
    <row r="56" spans="1:16">
      <c r="A56" t="s">
        <v>1411</v>
      </c>
      <c r="C56" s="148">
        <v>99500000</v>
      </c>
      <c r="D56" s="144">
        <v>0.16550080360204267</v>
      </c>
      <c r="M56" t="s">
        <v>1411</v>
      </c>
      <c r="O56" s="148">
        <v>90006294.375</v>
      </c>
      <c r="P56" s="144">
        <v>0.15315015487837022</v>
      </c>
    </row>
    <row r="57" spans="1:16">
      <c r="A57" t="s">
        <v>1412</v>
      </c>
      <c r="C57" s="148">
        <v>81347375</v>
      </c>
      <c r="D57" s="144">
        <v>0.13530709480820818</v>
      </c>
      <c r="M57" t="s">
        <v>1412</v>
      </c>
      <c r="O57" s="148">
        <v>86209673.28125</v>
      </c>
      <c r="P57" s="144">
        <v>0.14669001658959957</v>
      </c>
    </row>
    <row r="58" spans="1:16">
      <c r="A58" t="s">
        <v>1413</v>
      </c>
      <c r="C58" s="148">
        <v>57341500</v>
      </c>
      <c r="D58" s="144">
        <v>9.5377530952226425E-2</v>
      </c>
      <c r="M58" t="s">
        <v>1413</v>
      </c>
      <c r="O58" s="148">
        <v>62429525</v>
      </c>
      <c r="P58" s="144">
        <v>0.10622691989626848</v>
      </c>
    </row>
    <row r="59" spans="1:16">
      <c r="A59" t="s">
        <v>1414</v>
      </c>
      <c r="C59" s="148">
        <v>54382187.5</v>
      </c>
      <c r="D59" s="144">
        <v>9.0455233496351345E-2</v>
      </c>
      <c r="M59" t="s">
        <v>1414</v>
      </c>
      <c r="O59" s="148">
        <v>69403436.71875</v>
      </c>
      <c r="P59" s="144">
        <v>0.11809337509533181</v>
      </c>
    </row>
    <row r="60" spans="1:16">
      <c r="A60" t="s">
        <v>1415</v>
      </c>
      <c r="C60" s="148">
        <v>50399140</v>
      </c>
      <c r="D60" s="144">
        <v>8.3830132370370375E-2</v>
      </c>
      <c r="M60" t="s">
        <v>1415</v>
      </c>
      <c r="O60" s="148">
        <v>53822853.112499997</v>
      </c>
      <c r="P60" s="144">
        <v>9.1582242635518396E-2</v>
      </c>
    </row>
    <row r="61" spans="1:16">
      <c r="A61" t="s">
        <v>1416</v>
      </c>
      <c r="C61" s="148">
        <v>49884420</v>
      </c>
      <c r="D61" s="144">
        <v>8.2973985901726721E-2</v>
      </c>
      <c r="M61" t="s">
        <v>1416</v>
      </c>
      <c r="O61" s="148">
        <v>46210975.056250006</v>
      </c>
      <c r="P61" s="144">
        <v>7.8630256206958654E-2</v>
      </c>
    </row>
    <row r="62" spans="1:16">
      <c r="A62" t="s">
        <v>1417</v>
      </c>
      <c r="C62" s="148">
        <v>39121950</v>
      </c>
      <c r="D62" s="144">
        <v>6.507250415556716E-2</v>
      </c>
      <c r="M62" t="s">
        <v>1417</v>
      </c>
      <c r="O62" s="148">
        <v>40052389.899999999</v>
      </c>
      <c r="P62" s="144">
        <v>6.8151119419239736E-2</v>
      </c>
    </row>
    <row r="63" spans="1:16">
      <c r="A63" t="s">
        <v>1418</v>
      </c>
      <c r="C63" s="148">
        <v>36931317.5</v>
      </c>
      <c r="D63" s="144">
        <v>6.1428771098815886E-2</v>
      </c>
      <c r="M63" t="s">
        <v>1418</v>
      </c>
      <c r="O63" s="148">
        <v>31054260.399999999</v>
      </c>
      <c r="P63" s="144">
        <v>5.2840357698519448E-2</v>
      </c>
    </row>
    <row r="64" spans="1:16">
      <c r="A64" t="s">
        <v>1419</v>
      </c>
      <c r="C64" s="148">
        <v>31272650</v>
      </c>
      <c r="D64" s="144">
        <v>5.2016569907190141E-2</v>
      </c>
      <c r="M64" t="s">
        <v>1419</v>
      </c>
      <c r="O64" s="148">
        <v>42564253.674999997</v>
      </c>
      <c r="P64" s="144">
        <v>7.2425179681868096E-2</v>
      </c>
    </row>
    <row r="65" spans="1:16">
      <c r="A65" s="125" t="s">
        <v>94</v>
      </c>
      <c r="B65" s="125"/>
      <c r="C65" s="148">
        <v>601205540</v>
      </c>
      <c r="D65" s="144">
        <v>1</v>
      </c>
      <c r="M65" t="s">
        <v>94</v>
      </c>
      <c r="O65" s="148">
        <v>587699662.76874995</v>
      </c>
      <c r="P65" s="144">
        <v>1</v>
      </c>
    </row>
    <row r="70" spans="1:16">
      <c r="A70" s="137" t="s">
        <v>1428</v>
      </c>
      <c r="M70" s="138" t="s">
        <v>1409</v>
      </c>
    </row>
    <row r="72" spans="1:16">
      <c r="A72" t="s">
        <v>1422</v>
      </c>
      <c r="B72" s="126">
        <f>MIN(C55:C64)</f>
        <v>31272650</v>
      </c>
      <c r="M72" t="s">
        <v>1422</v>
      </c>
      <c r="N72" s="126">
        <f>MIN(O55:O64)</f>
        <v>31054260.399999999</v>
      </c>
    </row>
    <row r="73" spans="1:16">
      <c r="A73" t="s">
        <v>1423</v>
      </c>
      <c r="B73" s="126">
        <f>MAX(C55:C64)</f>
        <v>101025000</v>
      </c>
      <c r="M73" t="s">
        <v>1423</v>
      </c>
      <c r="N73" s="126">
        <f>MAX(O55:O64)</f>
        <v>90006294.375</v>
      </c>
    </row>
    <row r="74" spans="1:16">
      <c r="A74" t="s">
        <v>1424</v>
      </c>
      <c r="B74" s="126">
        <f>AVERAGE(C55:C64)</f>
        <v>60120554</v>
      </c>
      <c r="M74" t="s">
        <v>1424</v>
      </c>
      <c r="N74" s="126">
        <f>AVERAGE(O55:O64)</f>
        <v>58769966.276874997</v>
      </c>
    </row>
    <row r="75" spans="1:16">
      <c r="A75" t="s">
        <v>1425</v>
      </c>
      <c r="B75" s="126">
        <f>MEDIAN(C55:C64)</f>
        <v>52390663.75</v>
      </c>
      <c r="M75" t="s">
        <v>1425</v>
      </c>
      <c r="N75" s="126">
        <f>MEDIAN(O55:O64)</f>
        <v>58126189.056249999</v>
      </c>
    </row>
    <row r="76" spans="1:16">
      <c r="A76" t="s">
        <v>1426</v>
      </c>
      <c r="B76" s="126">
        <f>_xlfn.STDEV.S(C55:C64)</f>
        <v>25221931.252259668</v>
      </c>
      <c r="M76" t="s">
        <v>1426</v>
      </c>
      <c r="N76" s="126">
        <f>_xlfn.STDEV.S(O55:O64)</f>
        <v>19635397.692586947</v>
      </c>
    </row>
    <row r="77" spans="1:16">
      <c r="A77" t="s">
        <v>1427</v>
      </c>
      <c r="B77" s="126">
        <f>B73-B72</f>
        <v>69752350</v>
      </c>
      <c r="M77" t="s">
        <v>1427</v>
      </c>
      <c r="N77" s="126">
        <f>N73-N72</f>
        <v>58952033.975000001</v>
      </c>
    </row>
    <row r="80" spans="1:16">
      <c r="B80" s="136" t="s">
        <v>1456</v>
      </c>
      <c r="C80" s="136" t="s">
        <v>16</v>
      </c>
      <c r="M80" s="136" t="s">
        <v>1455</v>
      </c>
      <c r="N80" s="136" t="s">
        <v>16</v>
      </c>
    </row>
    <row r="81" spans="2:15">
      <c r="B81" s="136" t="s">
        <v>1445</v>
      </c>
      <c r="C81" t="s">
        <v>23</v>
      </c>
      <c r="D81" t="s">
        <v>44</v>
      </c>
      <c r="E81" t="s">
        <v>1420</v>
      </c>
      <c r="M81" s="152" t="s">
        <v>1421</v>
      </c>
      <c r="N81" s="84" t="s">
        <v>23</v>
      </c>
      <c r="O81" s="84" t="s">
        <v>1420</v>
      </c>
    </row>
    <row r="82" spans="2:15">
      <c r="B82" s="150" t="s">
        <v>1444</v>
      </c>
      <c r="C82" s="157">
        <v>4</v>
      </c>
      <c r="D82" s="157">
        <v>2</v>
      </c>
      <c r="E82" s="157">
        <v>6</v>
      </c>
      <c r="M82" s="153" t="s">
        <v>1447</v>
      </c>
      <c r="N82" s="155">
        <v>6</v>
      </c>
      <c r="O82" s="155">
        <v>6</v>
      </c>
    </row>
    <row r="83" spans="2:15">
      <c r="B83" s="149">
        <v>1</v>
      </c>
      <c r="C83" s="156">
        <v>2</v>
      </c>
      <c r="D83" s="156"/>
      <c r="E83" s="156">
        <v>2</v>
      </c>
      <c r="M83" s="149">
        <v>1</v>
      </c>
      <c r="N83" s="156">
        <v>2</v>
      </c>
      <c r="O83" s="156">
        <v>2</v>
      </c>
    </row>
    <row r="84" spans="2:15">
      <c r="B84" s="149">
        <v>5</v>
      </c>
      <c r="C84" s="156">
        <v>2</v>
      </c>
      <c r="D84" s="156"/>
      <c r="E84" s="156">
        <v>2</v>
      </c>
      <c r="M84" s="149">
        <v>2</v>
      </c>
      <c r="N84" s="156">
        <v>2</v>
      </c>
      <c r="O84" s="156">
        <v>2</v>
      </c>
    </row>
    <row r="85" spans="2:15">
      <c r="B85" s="149">
        <v>12</v>
      </c>
      <c r="C85" s="156"/>
      <c r="D85" s="156">
        <v>2</v>
      </c>
      <c r="E85" s="156">
        <v>2</v>
      </c>
      <c r="M85" s="149">
        <v>5</v>
      </c>
      <c r="N85" s="156">
        <v>2</v>
      </c>
      <c r="O85" s="156">
        <v>2</v>
      </c>
    </row>
    <row r="86" spans="2:15">
      <c r="B86" s="150" t="s">
        <v>1443</v>
      </c>
      <c r="C86" s="157">
        <v>6</v>
      </c>
      <c r="D86" s="157"/>
      <c r="E86" s="157">
        <v>6</v>
      </c>
      <c r="M86" s="153" t="s">
        <v>1446</v>
      </c>
      <c r="N86" s="155">
        <v>6</v>
      </c>
      <c r="O86" s="155">
        <v>6</v>
      </c>
    </row>
    <row r="87" spans="2:15">
      <c r="B87" s="149">
        <v>3</v>
      </c>
      <c r="C87" s="156">
        <v>1</v>
      </c>
      <c r="D87" s="156"/>
      <c r="E87" s="156">
        <v>1</v>
      </c>
      <c r="M87" s="149">
        <v>3</v>
      </c>
      <c r="N87" s="156">
        <v>1</v>
      </c>
      <c r="O87" s="156">
        <v>1</v>
      </c>
    </row>
    <row r="88" spans="2:15">
      <c r="B88" s="149">
        <v>6</v>
      </c>
      <c r="C88" s="156">
        <v>2</v>
      </c>
      <c r="D88" s="156"/>
      <c r="E88" s="156">
        <v>2</v>
      </c>
      <c r="M88" s="149">
        <v>6</v>
      </c>
      <c r="N88" s="156">
        <v>2</v>
      </c>
      <c r="O88" s="156">
        <v>2</v>
      </c>
    </row>
    <row r="89" spans="2:15">
      <c r="B89" s="149">
        <v>8</v>
      </c>
      <c r="C89" s="156">
        <v>1</v>
      </c>
      <c r="D89" s="156"/>
      <c r="E89" s="156">
        <v>1</v>
      </c>
      <c r="M89" s="149">
        <v>8</v>
      </c>
      <c r="N89" s="156">
        <v>1</v>
      </c>
      <c r="O89" s="156">
        <v>1</v>
      </c>
    </row>
    <row r="90" spans="2:15">
      <c r="B90" s="149">
        <v>10</v>
      </c>
      <c r="C90" s="156">
        <v>1</v>
      </c>
      <c r="D90" s="156"/>
      <c r="E90" s="156">
        <v>1</v>
      </c>
      <c r="M90" s="149">
        <v>10</v>
      </c>
      <c r="N90" s="156">
        <v>1</v>
      </c>
      <c r="O90" s="156">
        <v>1</v>
      </c>
    </row>
    <row r="91" spans="2:15">
      <c r="B91" s="149">
        <v>11</v>
      </c>
      <c r="C91" s="156">
        <v>1</v>
      </c>
      <c r="D91" s="156"/>
      <c r="E91" s="156">
        <v>1</v>
      </c>
      <c r="M91" s="149">
        <v>11</v>
      </c>
      <c r="N91" s="156">
        <v>1</v>
      </c>
      <c r="O91" s="156">
        <v>1</v>
      </c>
    </row>
    <row r="92" spans="2:15">
      <c r="B92" s="151" t="s">
        <v>1420</v>
      </c>
      <c r="C92" s="158">
        <v>10</v>
      </c>
      <c r="D92" s="158">
        <v>2</v>
      </c>
      <c r="E92" s="158">
        <v>12</v>
      </c>
      <c r="M92" s="153" t="s">
        <v>1420</v>
      </c>
      <c r="N92" s="155">
        <v>12</v>
      </c>
      <c r="O92" s="155">
        <v>12</v>
      </c>
    </row>
  </sheetData>
  <mergeCells count="1">
    <mergeCell ref="O3:Q3"/>
  </mergeCells>
  <pageMargins left="0.7" right="0.7" top="0.75" bottom="0.75" header="0.3" footer="0.3"/>
  <pageSetup paperSize="9" orientation="portrait" r:id="rId3"/>
  <drawing r:id="rId4"/>
  <tableParts count="11">
    <tablePart r:id="rId5"/>
    <tablePart r:id="rId6"/>
    <tablePart r:id="rId7"/>
    <tablePart r:id="rId8"/>
    <tablePart r:id="rId9"/>
    <tablePart r:id="rId10"/>
    <tablePart r:id="rId11"/>
    <tablePart r:id="rId12"/>
    <tablePart r:id="rId13"/>
    <tablePart r:id="rId14"/>
    <tablePart r:id="rId1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63B6E-98C2-4397-B6E4-371A0AEF86A2}">
  <dimension ref="A3:Y16"/>
  <sheetViews>
    <sheetView workbookViewId="0">
      <selection activeCell="B33" sqref="B33:B34"/>
    </sheetView>
  </sheetViews>
  <sheetFormatPr baseColWidth="10" defaultRowHeight="14.25"/>
  <cols>
    <col min="1" max="1" width="11.265625" bestFit="1" customWidth="1"/>
    <col min="2" max="2" width="9.86328125" bestFit="1" customWidth="1"/>
    <col min="3" max="11" width="6.59765625" bestFit="1" customWidth="1"/>
    <col min="12" max="12" width="11.265625" bestFit="1" customWidth="1"/>
    <col min="14" max="14" width="15.1328125" customWidth="1"/>
    <col min="15" max="15" width="9.86328125" customWidth="1"/>
    <col min="16" max="16" width="4.59765625" customWidth="1"/>
    <col min="17" max="17" width="4.86328125" customWidth="1"/>
    <col min="18" max="21" width="4.59765625" customWidth="1"/>
    <col min="22" max="22" width="4.86328125" customWidth="1"/>
    <col min="23" max="23" width="4.59765625" customWidth="1"/>
    <col min="24" max="24" width="4.73046875" customWidth="1"/>
    <col min="25" max="25" width="6" customWidth="1"/>
  </cols>
  <sheetData>
    <row r="3" spans="1:25">
      <c r="A3" s="136" t="s">
        <v>1428</v>
      </c>
      <c r="B3" s="136" t="s">
        <v>1421</v>
      </c>
      <c r="N3" s="87" t="s">
        <v>1428</v>
      </c>
      <c r="O3" s="184" t="s">
        <v>97</v>
      </c>
      <c r="P3" s="189"/>
      <c r="Q3" s="189"/>
      <c r="R3" s="189"/>
      <c r="S3" s="189"/>
      <c r="T3" s="189"/>
      <c r="U3" s="189"/>
      <c r="V3" s="189"/>
      <c r="W3" s="189"/>
      <c r="X3" s="189"/>
      <c r="Y3" s="190"/>
    </row>
    <row r="4" spans="1:25">
      <c r="A4" s="136" t="s">
        <v>16</v>
      </c>
      <c r="B4" t="s">
        <v>69</v>
      </c>
      <c r="C4" t="s">
        <v>70</v>
      </c>
      <c r="D4" t="s">
        <v>71</v>
      </c>
      <c r="E4" t="s">
        <v>72</v>
      </c>
      <c r="F4" t="s">
        <v>73</v>
      </c>
      <c r="G4" t="s">
        <v>74</v>
      </c>
      <c r="H4" t="s">
        <v>75</v>
      </c>
      <c r="I4" t="s">
        <v>76</v>
      </c>
      <c r="J4" t="s">
        <v>77</v>
      </c>
      <c r="K4" t="s">
        <v>78</v>
      </c>
      <c r="L4" t="s">
        <v>1420</v>
      </c>
      <c r="N4" s="152" t="s">
        <v>1458</v>
      </c>
      <c r="O4" s="185" t="s">
        <v>69</v>
      </c>
      <c r="P4" s="185" t="s">
        <v>70</v>
      </c>
      <c r="Q4" s="185" t="s">
        <v>71</v>
      </c>
      <c r="R4" s="185" t="s">
        <v>72</v>
      </c>
      <c r="S4" s="185" t="s">
        <v>73</v>
      </c>
      <c r="T4" s="185" t="s">
        <v>74</v>
      </c>
      <c r="U4" s="185" t="s">
        <v>75</v>
      </c>
      <c r="V4" s="185" t="s">
        <v>76</v>
      </c>
      <c r="W4" s="185" t="s">
        <v>77</v>
      </c>
      <c r="X4" s="185" t="s">
        <v>78</v>
      </c>
      <c r="Y4" s="185" t="s">
        <v>94</v>
      </c>
    </row>
    <row r="5" spans="1:25">
      <c r="A5" s="125" t="s">
        <v>23</v>
      </c>
      <c r="B5" s="144">
        <v>6.6666666666666666E-2</v>
      </c>
      <c r="C5" s="144">
        <v>6.6666666666666666E-2</v>
      </c>
      <c r="D5" s="144">
        <v>6.6666666666666666E-2</v>
      </c>
      <c r="E5" s="144">
        <v>3.3333333333333333E-2</v>
      </c>
      <c r="F5" s="144">
        <v>3.3333333333333333E-2</v>
      </c>
      <c r="G5" s="144">
        <v>3.3333333333333333E-2</v>
      </c>
      <c r="H5" s="144">
        <v>6.6666666666666666E-2</v>
      </c>
      <c r="I5" s="144">
        <v>3.3333333333333333E-2</v>
      </c>
      <c r="J5" s="144">
        <v>6.6666666666666666E-2</v>
      </c>
      <c r="K5" s="144">
        <v>0.1</v>
      </c>
      <c r="L5" s="144">
        <v>0.56666666666666665</v>
      </c>
      <c r="N5" s="183" t="s">
        <v>1460</v>
      </c>
      <c r="O5" s="84"/>
      <c r="P5" s="84"/>
      <c r="Q5" s="84"/>
      <c r="R5" s="84"/>
      <c r="S5" s="84"/>
      <c r="T5" s="84"/>
      <c r="U5" s="84">
        <v>2</v>
      </c>
      <c r="V5" s="84">
        <v>6</v>
      </c>
      <c r="W5" s="84">
        <v>6</v>
      </c>
      <c r="X5" s="84">
        <v>6</v>
      </c>
      <c r="Y5" s="84">
        <v>20</v>
      </c>
    </row>
    <row r="6" spans="1:25">
      <c r="A6" s="125" t="s">
        <v>44</v>
      </c>
      <c r="B6" s="144">
        <v>3.3333333333333333E-2</v>
      </c>
      <c r="C6" s="144">
        <v>3.3333333333333333E-2</v>
      </c>
      <c r="D6" s="144">
        <v>1.6666666666666666E-2</v>
      </c>
      <c r="E6" s="144">
        <v>3.3333333333333333E-2</v>
      </c>
      <c r="F6" s="144">
        <v>3.3333333333333333E-2</v>
      </c>
      <c r="G6" s="144">
        <v>6.6666666666666666E-2</v>
      </c>
      <c r="H6" s="144">
        <v>3.3333333333333333E-2</v>
      </c>
      <c r="I6" s="144">
        <v>1.6666666666666666E-2</v>
      </c>
      <c r="J6" s="144">
        <v>3.3333333333333333E-2</v>
      </c>
      <c r="K6" s="144">
        <v>0</v>
      </c>
      <c r="L6" s="144">
        <v>0.3</v>
      </c>
      <c r="N6" s="183" t="s">
        <v>1461</v>
      </c>
      <c r="O6" s="84">
        <v>6</v>
      </c>
      <c r="P6" s="84">
        <v>6</v>
      </c>
      <c r="Q6" s="84">
        <v>6</v>
      </c>
      <c r="R6" s="84">
        <v>6</v>
      </c>
      <c r="S6" s="84">
        <v>6</v>
      </c>
      <c r="T6" s="84">
        <v>6</v>
      </c>
      <c r="U6" s="84">
        <v>4</v>
      </c>
      <c r="V6" s="84"/>
      <c r="W6" s="84"/>
      <c r="X6" s="84"/>
      <c r="Y6" s="84">
        <v>40</v>
      </c>
    </row>
    <row r="7" spans="1:25">
      <c r="A7" s="125" t="s">
        <v>57</v>
      </c>
      <c r="B7" s="144">
        <v>0</v>
      </c>
      <c r="C7" s="144">
        <v>0</v>
      </c>
      <c r="D7" s="144">
        <v>1.6666666666666666E-2</v>
      </c>
      <c r="E7" s="144">
        <v>3.3333333333333333E-2</v>
      </c>
      <c r="F7" s="144">
        <v>3.3333333333333333E-2</v>
      </c>
      <c r="G7" s="144">
        <v>0</v>
      </c>
      <c r="H7" s="144">
        <v>0</v>
      </c>
      <c r="I7" s="144">
        <v>0.05</v>
      </c>
      <c r="J7" s="144">
        <v>0</v>
      </c>
      <c r="K7" s="144">
        <v>0</v>
      </c>
      <c r="L7" s="144">
        <v>0.13333333333333333</v>
      </c>
      <c r="N7" s="183" t="s">
        <v>94</v>
      </c>
      <c r="O7" s="84">
        <v>6</v>
      </c>
      <c r="P7" s="84">
        <v>6</v>
      </c>
      <c r="Q7" s="84">
        <v>6</v>
      </c>
      <c r="R7" s="84">
        <v>6</v>
      </c>
      <c r="S7" s="84">
        <v>6</v>
      </c>
      <c r="T7" s="84">
        <v>6</v>
      </c>
      <c r="U7" s="84">
        <v>6</v>
      </c>
      <c r="V7" s="84">
        <v>6</v>
      </c>
      <c r="W7" s="84">
        <v>6</v>
      </c>
      <c r="X7" s="84">
        <v>6</v>
      </c>
      <c r="Y7" s="84">
        <v>60</v>
      </c>
    </row>
    <row r="8" spans="1:25">
      <c r="A8" s="125" t="s">
        <v>1420</v>
      </c>
      <c r="B8" s="144">
        <v>0.1</v>
      </c>
      <c r="C8" s="144">
        <v>0.1</v>
      </c>
      <c r="D8" s="144">
        <v>0.1</v>
      </c>
      <c r="E8" s="144">
        <v>0.1</v>
      </c>
      <c r="F8" s="144">
        <v>0.1</v>
      </c>
      <c r="G8" s="144">
        <v>0.1</v>
      </c>
      <c r="H8" s="144">
        <v>0.1</v>
      </c>
      <c r="I8" s="144">
        <v>0.1</v>
      </c>
      <c r="J8" s="144">
        <v>0.1</v>
      </c>
      <c r="K8" s="144">
        <v>0.1</v>
      </c>
      <c r="L8" s="144">
        <v>1</v>
      </c>
      <c r="N8" s="186" t="s">
        <v>1409</v>
      </c>
      <c r="O8" s="187" t="s">
        <v>97</v>
      </c>
      <c r="P8" s="188"/>
      <c r="Q8" s="188"/>
      <c r="R8" s="188"/>
      <c r="S8" s="188"/>
      <c r="T8" s="188"/>
      <c r="U8" s="188"/>
      <c r="V8" s="188"/>
      <c r="W8" s="188"/>
      <c r="X8" s="188"/>
      <c r="Y8" s="188"/>
    </row>
    <row r="9" spans="1:25">
      <c r="B9" s="124"/>
      <c r="C9" s="124"/>
      <c r="D9" s="124"/>
      <c r="E9" s="124"/>
      <c r="F9" s="124"/>
      <c r="G9" s="124"/>
      <c r="H9" s="124"/>
      <c r="I9" s="124"/>
      <c r="J9" s="124"/>
      <c r="K9" s="124"/>
      <c r="L9" s="124"/>
      <c r="N9" s="187" t="s">
        <v>1459</v>
      </c>
      <c r="O9" s="147" t="s">
        <v>69</v>
      </c>
      <c r="P9" s="147" t="s">
        <v>70</v>
      </c>
      <c r="Q9" s="147" t="s">
        <v>71</v>
      </c>
      <c r="R9" s="147" t="s">
        <v>72</v>
      </c>
      <c r="S9" s="147" t="s">
        <v>73</v>
      </c>
      <c r="T9" s="147" t="s">
        <v>74</v>
      </c>
      <c r="U9" s="147" t="s">
        <v>75</v>
      </c>
      <c r="V9" s="147" t="s">
        <v>76</v>
      </c>
      <c r="W9" s="147" t="s">
        <v>77</v>
      </c>
      <c r="X9" s="147" t="s">
        <v>78</v>
      </c>
      <c r="Y9" s="147" t="s">
        <v>1457</v>
      </c>
    </row>
    <row r="10" spans="1:25">
      <c r="B10" s="124"/>
      <c r="C10" s="124"/>
      <c r="D10" s="124"/>
      <c r="E10" s="124"/>
      <c r="F10" s="124"/>
      <c r="G10" s="124"/>
      <c r="H10" s="124"/>
      <c r="I10" s="124"/>
      <c r="J10" s="124"/>
      <c r="K10" s="124"/>
      <c r="L10" s="124"/>
      <c r="N10" s="183" t="s">
        <v>1460</v>
      </c>
      <c r="O10" s="84"/>
      <c r="P10" s="84"/>
      <c r="Q10" s="84"/>
      <c r="R10" s="84"/>
      <c r="S10" s="84"/>
      <c r="T10" s="84">
        <v>1</v>
      </c>
      <c r="U10" s="84">
        <v>4</v>
      </c>
      <c r="V10" s="84">
        <v>6</v>
      </c>
      <c r="W10" s="84">
        <v>6</v>
      </c>
      <c r="X10" s="84">
        <v>3</v>
      </c>
      <c r="Y10" s="84">
        <v>20</v>
      </c>
    </row>
    <row r="11" spans="1:25">
      <c r="A11" s="136" t="s">
        <v>1409</v>
      </c>
      <c r="B11" s="139" t="s">
        <v>97</v>
      </c>
      <c r="C11" s="124"/>
      <c r="D11" s="124"/>
      <c r="E11" s="124"/>
      <c r="F11" s="124"/>
      <c r="G11" s="124"/>
      <c r="H11" s="124"/>
      <c r="I11" s="124"/>
      <c r="J11" s="124"/>
      <c r="K11" s="124"/>
      <c r="L11" s="124"/>
      <c r="N11" s="183" t="s">
        <v>1461</v>
      </c>
      <c r="O11" s="84">
        <v>6</v>
      </c>
      <c r="P11" s="84">
        <v>6</v>
      </c>
      <c r="Q11" s="84">
        <v>6</v>
      </c>
      <c r="R11" s="84">
        <v>6</v>
      </c>
      <c r="S11" s="84">
        <v>6</v>
      </c>
      <c r="T11" s="84">
        <v>5</v>
      </c>
      <c r="U11" s="84">
        <v>2</v>
      </c>
      <c r="V11" s="84"/>
      <c r="W11" s="84"/>
      <c r="X11" s="84">
        <v>3</v>
      </c>
      <c r="Y11" s="84">
        <v>40</v>
      </c>
    </row>
    <row r="12" spans="1:25">
      <c r="A12" s="136" t="s">
        <v>16</v>
      </c>
      <c r="B12" s="124" t="s">
        <v>69</v>
      </c>
      <c r="C12" s="124" t="s">
        <v>70</v>
      </c>
      <c r="D12" s="124" t="s">
        <v>71</v>
      </c>
      <c r="E12" s="124" t="s">
        <v>72</v>
      </c>
      <c r="F12" s="124" t="s">
        <v>73</v>
      </c>
      <c r="G12" s="124" t="s">
        <v>74</v>
      </c>
      <c r="H12" s="124" t="s">
        <v>75</v>
      </c>
      <c r="I12" s="124" t="s">
        <v>76</v>
      </c>
      <c r="J12" s="124" t="s">
        <v>77</v>
      </c>
      <c r="K12" s="124" t="s">
        <v>78</v>
      </c>
      <c r="L12" s="124" t="s">
        <v>1420</v>
      </c>
      <c r="N12" s="183" t="s">
        <v>1457</v>
      </c>
      <c r="O12" s="84">
        <v>6</v>
      </c>
      <c r="P12" s="84">
        <v>6</v>
      </c>
      <c r="Q12" s="84">
        <v>6</v>
      </c>
      <c r="R12" s="84">
        <v>6</v>
      </c>
      <c r="S12" s="84">
        <v>6</v>
      </c>
      <c r="T12" s="84">
        <v>6</v>
      </c>
      <c r="U12" s="84">
        <v>6</v>
      </c>
      <c r="V12" s="84">
        <v>6</v>
      </c>
      <c r="W12" s="84">
        <v>6</v>
      </c>
      <c r="X12" s="84">
        <v>6</v>
      </c>
      <c r="Y12" s="84">
        <v>60</v>
      </c>
    </row>
    <row r="13" spans="1:25">
      <c r="A13" s="125" t="s">
        <v>23</v>
      </c>
      <c r="B13" s="144">
        <v>0</v>
      </c>
      <c r="C13" s="144">
        <v>0.1</v>
      </c>
      <c r="D13" s="144">
        <v>8.3333333333333329E-2</v>
      </c>
      <c r="E13" s="144">
        <v>0</v>
      </c>
      <c r="F13" s="144">
        <v>6.6666666666666666E-2</v>
      </c>
      <c r="G13" s="144">
        <v>6.6666666666666666E-2</v>
      </c>
      <c r="H13" s="144">
        <v>8.3333333333333329E-2</v>
      </c>
      <c r="I13" s="144">
        <v>8.3333333333333329E-2</v>
      </c>
      <c r="J13" s="144">
        <v>0.1</v>
      </c>
      <c r="K13" s="144">
        <v>0</v>
      </c>
      <c r="L13" s="144">
        <v>0.58333333333333337</v>
      </c>
    </row>
    <row r="14" spans="1:25">
      <c r="A14" s="125" t="s">
        <v>44</v>
      </c>
      <c r="B14" s="144">
        <v>0.1</v>
      </c>
      <c r="C14" s="144">
        <v>0</v>
      </c>
      <c r="D14" s="144">
        <v>0</v>
      </c>
      <c r="E14" s="144">
        <v>0.1</v>
      </c>
      <c r="F14" s="144">
        <v>0</v>
      </c>
      <c r="G14" s="144">
        <v>0</v>
      </c>
      <c r="H14" s="144">
        <v>0</v>
      </c>
      <c r="I14" s="144">
        <v>0</v>
      </c>
      <c r="J14" s="144">
        <v>0</v>
      </c>
      <c r="K14" s="144">
        <v>0.1</v>
      </c>
      <c r="L14" s="144">
        <v>0.3</v>
      </c>
    </row>
    <row r="15" spans="1:25">
      <c r="A15" s="125" t="s">
        <v>57</v>
      </c>
      <c r="B15" s="144">
        <v>0</v>
      </c>
      <c r="C15" s="144">
        <v>0</v>
      </c>
      <c r="D15" s="144">
        <v>1.6666666666666666E-2</v>
      </c>
      <c r="E15" s="144">
        <v>0</v>
      </c>
      <c r="F15" s="144">
        <v>3.3333333333333333E-2</v>
      </c>
      <c r="G15" s="144">
        <v>3.3333333333333333E-2</v>
      </c>
      <c r="H15" s="144">
        <v>1.6666666666666666E-2</v>
      </c>
      <c r="I15" s="144">
        <v>1.6666666666666666E-2</v>
      </c>
      <c r="J15" s="144">
        <v>0</v>
      </c>
      <c r="K15" s="144">
        <v>0</v>
      </c>
      <c r="L15" s="144">
        <v>0.11666666666666667</v>
      </c>
    </row>
    <row r="16" spans="1:25">
      <c r="A16" s="125" t="s">
        <v>1420</v>
      </c>
      <c r="B16" s="144">
        <v>0.1</v>
      </c>
      <c r="C16" s="144">
        <v>0.1</v>
      </c>
      <c r="D16" s="144">
        <v>0.1</v>
      </c>
      <c r="E16" s="144">
        <v>0.1</v>
      </c>
      <c r="F16" s="144">
        <v>0.1</v>
      </c>
      <c r="G16" s="144">
        <v>0.1</v>
      </c>
      <c r="H16" s="144">
        <v>0.1</v>
      </c>
      <c r="I16" s="144">
        <v>0.1</v>
      </c>
      <c r="J16" s="144">
        <v>0.1</v>
      </c>
      <c r="K16" s="144">
        <v>0.1</v>
      </c>
      <c r="L16" s="144">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637A9-D389-42B6-9309-9F4209189BB9}">
  <sheetPr codeName="Sheet7"/>
  <dimension ref="A1:K1751"/>
  <sheetViews>
    <sheetView workbookViewId="0"/>
  </sheetViews>
  <sheetFormatPr baseColWidth="10" defaultColWidth="11.265625" defaultRowHeight="14.25"/>
  <cols>
    <col min="1" max="1" width="11.265625" style="71"/>
    <col min="2" max="2" width="11.265625" style="74"/>
    <col min="3" max="3" width="11.265625" style="77"/>
    <col min="4" max="4" width="17.265625" style="71" bestFit="1" customWidth="1"/>
    <col min="5" max="8" width="10.73046875" style="71" customWidth="1"/>
    <col min="9" max="9" width="19.73046875" style="71" bestFit="1" customWidth="1"/>
    <col min="10" max="16384" width="11.265625" style="71"/>
  </cols>
  <sheetData>
    <row r="1" spans="1:11">
      <c r="A1" s="69" t="s">
        <v>3</v>
      </c>
      <c r="B1" s="70" t="s">
        <v>113</v>
      </c>
      <c r="C1" s="70" t="s">
        <v>4</v>
      </c>
      <c r="D1" s="70" t="s">
        <v>5</v>
      </c>
      <c r="E1" s="70" t="s">
        <v>6</v>
      </c>
      <c r="G1" s="286" t="s">
        <v>114</v>
      </c>
      <c r="H1" s="286"/>
      <c r="J1" s="72"/>
      <c r="K1" s="71" t="s">
        <v>115</v>
      </c>
    </row>
    <row r="2" spans="1:11">
      <c r="A2" s="73" cm="1">
        <f t="array" ref="A2:A1751">_xlfn.SEQUENCE(25*70)</f>
        <v>1</v>
      </c>
      <c r="B2" s="74" t="s">
        <v>116</v>
      </c>
      <c r="C2" s="74">
        <v>11354348</v>
      </c>
      <c r="D2" s="71" t="s">
        <v>117</v>
      </c>
      <c r="E2" s="71" t="s">
        <v>118</v>
      </c>
      <c r="G2" s="70" t="s">
        <v>6</v>
      </c>
      <c r="H2" s="70" t="s">
        <v>119</v>
      </c>
      <c r="I2" s="74"/>
      <c r="J2" s="74"/>
      <c r="K2" s="75"/>
    </row>
    <row r="3" spans="1:11">
      <c r="A3" s="73">
        <v>2</v>
      </c>
      <c r="B3" s="74" t="s">
        <v>116</v>
      </c>
      <c r="C3" s="74">
        <v>11333777</v>
      </c>
      <c r="D3" s="71" t="s">
        <v>120</v>
      </c>
      <c r="E3" s="71" t="s">
        <v>118</v>
      </c>
      <c r="G3" s="76" t="str" cm="1">
        <f t="array" ref="G3:G24">_xlfn.UNIQUE(_xlfn._xlws.FILTER(E2:E1500,E2:E1500&lt;&gt;""))</f>
        <v>AG41</v>
      </c>
      <c r="H3" s="76" cm="1">
        <f t="array" ref="H3:H24">COUNTIF(E2:E1500,_xlfn.ANCHORARRAY(G3))</f>
        <v>48</v>
      </c>
    </row>
    <row r="4" spans="1:11">
      <c r="A4" s="73">
        <v>3</v>
      </c>
      <c r="B4" s="74" t="s">
        <v>116</v>
      </c>
      <c r="C4" s="74">
        <v>11353201</v>
      </c>
      <c r="D4" s="71" t="s">
        <v>121</v>
      </c>
      <c r="E4" s="71" t="s">
        <v>118</v>
      </c>
      <c r="G4" s="76" t="str">
        <v>AG42</v>
      </c>
      <c r="H4" s="76">
        <v>56</v>
      </c>
      <c r="J4" s="74"/>
      <c r="K4" s="74"/>
    </row>
    <row r="5" spans="1:11">
      <c r="A5" s="73">
        <v>4</v>
      </c>
      <c r="B5" s="74" t="s">
        <v>116</v>
      </c>
      <c r="C5" s="74">
        <v>11353959</v>
      </c>
      <c r="D5" s="71" t="s">
        <v>122</v>
      </c>
      <c r="E5" s="71" t="s">
        <v>118</v>
      </c>
      <c r="G5" s="76" t="str">
        <v>B40</v>
      </c>
      <c r="H5" s="76">
        <v>65</v>
      </c>
    </row>
    <row r="6" spans="1:11">
      <c r="A6" s="73">
        <v>5</v>
      </c>
      <c r="B6" s="74" t="s">
        <v>116</v>
      </c>
      <c r="C6" s="74">
        <v>11351867</v>
      </c>
      <c r="D6" s="71" t="s">
        <v>123</v>
      </c>
      <c r="E6" s="71" t="s">
        <v>118</v>
      </c>
      <c r="G6" s="76" t="str">
        <v>B41</v>
      </c>
      <c r="H6" s="76">
        <v>67</v>
      </c>
    </row>
    <row r="7" spans="1:11">
      <c r="A7" s="73">
        <v>6</v>
      </c>
      <c r="B7" s="74" t="s">
        <v>116</v>
      </c>
      <c r="C7" s="74">
        <v>11350494</v>
      </c>
      <c r="D7" s="71" t="s">
        <v>124</v>
      </c>
      <c r="E7" s="71" t="s">
        <v>118</v>
      </c>
      <c r="G7" s="76" t="str">
        <v>B42</v>
      </c>
      <c r="H7" s="76">
        <v>59</v>
      </c>
    </row>
    <row r="8" spans="1:11">
      <c r="A8" s="73">
        <v>7</v>
      </c>
      <c r="B8" s="74" t="s">
        <v>116</v>
      </c>
      <c r="C8" s="74">
        <v>11334905</v>
      </c>
      <c r="D8" s="71" t="s">
        <v>125</v>
      </c>
      <c r="E8" s="71" t="s">
        <v>118</v>
      </c>
      <c r="G8" s="76" t="str">
        <v>B43</v>
      </c>
      <c r="H8" s="76">
        <v>63</v>
      </c>
    </row>
    <row r="9" spans="1:11">
      <c r="A9" s="73">
        <v>8</v>
      </c>
      <c r="B9" s="74" t="s">
        <v>116</v>
      </c>
      <c r="C9" s="74">
        <v>11332875</v>
      </c>
      <c r="D9" s="71" t="s">
        <v>126</v>
      </c>
      <c r="E9" s="71" t="s">
        <v>118</v>
      </c>
      <c r="G9" s="76" t="str">
        <v>B44</v>
      </c>
      <c r="H9" s="76">
        <v>62</v>
      </c>
    </row>
    <row r="10" spans="1:11">
      <c r="A10" s="73">
        <v>9</v>
      </c>
      <c r="B10" s="74" t="s">
        <v>116</v>
      </c>
      <c r="C10" s="74">
        <v>11332499</v>
      </c>
      <c r="D10" s="71" t="s">
        <v>127</v>
      </c>
      <c r="E10" s="71" t="s">
        <v>118</v>
      </c>
      <c r="G10" s="76" t="str">
        <v>B45</v>
      </c>
      <c r="H10" s="76">
        <v>66</v>
      </c>
    </row>
    <row r="11" spans="1:11">
      <c r="A11" s="73">
        <v>10</v>
      </c>
      <c r="B11" s="74" t="s">
        <v>116</v>
      </c>
      <c r="C11" s="74">
        <v>11333570</v>
      </c>
      <c r="D11" s="71" t="s">
        <v>128</v>
      </c>
      <c r="E11" s="71" t="s">
        <v>118</v>
      </c>
      <c r="G11" s="76" t="str">
        <v>B46</v>
      </c>
      <c r="H11" s="76">
        <v>63</v>
      </c>
    </row>
    <row r="12" spans="1:11">
      <c r="A12" s="73">
        <v>11</v>
      </c>
      <c r="B12" s="74" t="s">
        <v>116</v>
      </c>
      <c r="C12" s="74">
        <v>11352268</v>
      </c>
      <c r="D12" s="71" t="s">
        <v>129</v>
      </c>
      <c r="E12" s="71" t="s">
        <v>118</v>
      </c>
      <c r="G12" s="76" t="str">
        <v>B47</v>
      </c>
      <c r="H12" s="76">
        <v>64</v>
      </c>
    </row>
    <row r="13" spans="1:11">
      <c r="A13" s="73">
        <v>12</v>
      </c>
      <c r="B13" s="74" t="s">
        <v>116</v>
      </c>
      <c r="C13" s="74">
        <v>11335814</v>
      </c>
      <c r="D13" s="71" t="s">
        <v>130</v>
      </c>
      <c r="E13" s="71" t="s">
        <v>118</v>
      </c>
      <c r="G13" s="76" t="str">
        <v>B48</v>
      </c>
      <c r="H13" s="76">
        <v>53</v>
      </c>
    </row>
    <row r="14" spans="1:11">
      <c r="A14" s="73">
        <v>13</v>
      </c>
      <c r="B14" s="74" t="s">
        <v>116</v>
      </c>
      <c r="C14" s="74">
        <v>11353987</v>
      </c>
      <c r="D14" s="71" t="s">
        <v>131</v>
      </c>
      <c r="E14" s="71" t="s">
        <v>118</v>
      </c>
      <c r="G14" s="76" t="str">
        <v>B49</v>
      </c>
      <c r="H14" s="76">
        <v>60</v>
      </c>
    </row>
    <row r="15" spans="1:11">
      <c r="A15" s="73">
        <v>14</v>
      </c>
      <c r="B15" s="74" t="s">
        <v>116</v>
      </c>
      <c r="C15" s="74">
        <v>11347784</v>
      </c>
      <c r="D15" s="71" t="s">
        <v>132</v>
      </c>
      <c r="E15" s="71" t="s">
        <v>118</v>
      </c>
      <c r="G15" s="76" t="str">
        <v>F01</v>
      </c>
      <c r="H15" s="76">
        <v>56</v>
      </c>
    </row>
    <row r="16" spans="1:11">
      <c r="A16" s="73">
        <v>15</v>
      </c>
      <c r="B16" s="74" t="s">
        <v>116</v>
      </c>
      <c r="C16" s="74">
        <v>11351077</v>
      </c>
      <c r="D16" s="71" t="s">
        <v>133</v>
      </c>
      <c r="E16" s="71" t="s">
        <v>118</v>
      </c>
      <c r="G16" s="76" t="str">
        <v>F02</v>
      </c>
      <c r="H16" s="76">
        <v>58</v>
      </c>
    </row>
    <row r="17" spans="1:8">
      <c r="A17" s="73">
        <v>16</v>
      </c>
      <c r="B17" s="74" t="s">
        <v>116</v>
      </c>
      <c r="C17" s="74">
        <v>11335550</v>
      </c>
      <c r="D17" s="71" t="s">
        <v>134</v>
      </c>
      <c r="E17" s="71" t="s">
        <v>118</v>
      </c>
      <c r="G17" s="76" t="str">
        <v>F03</v>
      </c>
      <c r="H17" s="76">
        <v>59</v>
      </c>
    </row>
    <row r="18" spans="1:8">
      <c r="A18" s="73">
        <v>17</v>
      </c>
      <c r="B18" s="74" t="s">
        <v>116</v>
      </c>
      <c r="C18" s="74">
        <v>11337854</v>
      </c>
      <c r="D18" s="71" t="s">
        <v>135</v>
      </c>
      <c r="E18" s="71" t="s">
        <v>118</v>
      </c>
      <c r="G18" s="76" t="str">
        <v>F04</v>
      </c>
      <c r="H18" s="76">
        <v>49</v>
      </c>
    </row>
    <row r="19" spans="1:8">
      <c r="A19" s="73">
        <v>18</v>
      </c>
      <c r="B19" s="74" t="s">
        <v>116</v>
      </c>
      <c r="C19" s="74">
        <v>11354290</v>
      </c>
      <c r="D19" s="71" t="s">
        <v>136</v>
      </c>
      <c r="E19" s="71" t="s">
        <v>118</v>
      </c>
      <c r="G19" s="76" t="str">
        <v>F05</v>
      </c>
      <c r="H19" s="76">
        <v>60</v>
      </c>
    </row>
    <row r="20" spans="1:8">
      <c r="A20" s="73">
        <v>19</v>
      </c>
      <c r="B20" s="74" t="s">
        <v>116</v>
      </c>
      <c r="C20" s="74">
        <v>11352086</v>
      </c>
      <c r="D20" s="71" t="s">
        <v>137</v>
      </c>
      <c r="E20" s="71" t="s">
        <v>118</v>
      </c>
      <c r="G20" s="76" t="str">
        <v>F06</v>
      </c>
      <c r="H20" s="76">
        <v>58</v>
      </c>
    </row>
    <row r="21" spans="1:8">
      <c r="A21" s="73">
        <v>20</v>
      </c>
      <c r="B21" s="74" t="s">
        <v>116</v>
      </c>
      <c r="C21" s="74">
        <v>11336688</v>
      </c>
      <c r="D21" s="71" t="s">
        <v>138</v>
      </c>
      <c r="E21" s="71" t="s">
        <v>118</v>
      </c>
      <c r="G21" s="76" t="str">
        <v>F07</v>
      </c>
      <c r="H21" s="76">
        <v>60</v>
      </c>
    </row>
    <row r="22" spans="1:8">
      <c r="A22" s="73">
        <v>21</v>
      </c>
      <c r="B22" s="74" t="s">
        <v>116</v>
      </c>
      <c r="C22" s="74">
        <v>11334085</v>
      </c>
      <c r="D22" s="71" t="s">
        <v>139</v>
      </c>
      <c r="E22" s="71" t="s">
        <v>118</v>
      </c>
      <c r="G22" s="76" t="str">
        <v>F08</v>
      </c>
      <c r="H22" s="76">
        <v>59</v>
      </c>
    </row>
    <row r="23" spans="1:8">
      <c r="A23" s="73">
        <v>22</v>
      </c>
      <c r="B23" s="74" t="s">
        <v>116</v>
      </c>
      <c r="C23" s="74">
        <v>11334398</v>
      </c>
      <c r="D23" s="71" t="s">
        <v>140</v>
      </c>
      <c r="E23" s="71" t="s">
        <v>118</v>
      </c>
      <c r="G23" s="76" t="str">
        <v>F09</v>
      </c>
      <c r="H23" s="76">
        <v>50</v>
      </c>
    </row>
    <row r="24" spans="1:8">
      <c r="A24" s="73">
        <v>23</v>
      </c>
      <c r="B24" s="74" t="s">
        <v>116</v>
      </c>
      <c r="C24" s="74">
        <v>11351797</v>
      </c>
      <c r="D24" s="71" t="s">
        <v>141</v>
      </c>
      <c r="E24" s="71" t="s">
        <v>118</v>
      </c>
      <c r="G24" s="76" t="str">
        <v>T30</v>
      </c>
      <c r="H24" s="76">
        <v>32</v>
      </c>
    </row>
    <row r="25" spans="1:8">
      <c r="A25" s="73">
        <v>24</v>
      </c>
      <c r="B25" s="74" t="s">
        <v>116</v>
      </c>
      <c r="C25" s="74">
        <v>11352289</v>
      </c>
      <c r="D25" s="71" t="s">
        <v>142</v>
      </c>
      <c r="E25" s="71" t="s">
        <v>118</v>
      </c>
      <c r="G25" s="76"/>
      <c r="H25" s="76"/>
    </row>
    <row r="26" spans="1:8">
      <c r="A26" s="73">
        <v>25</v>
      </c>
      <c r="B26" s="74" t="s">
        <v>116</v>
      </c>
      <c r="C26" s="74">
        <v>11353695</v>
      </c>
      <c r="D26" s="71" t="s">
        <v>143</v>
      </c>
      <c r="E26" s="71" t="s">
        <v>118</v>
      </c>
      <c r="G26" s="76"/>
      <c r="H26" s="76"/>
    </row>
    <row r="27" spans="1:8">
      <c r="A27" s="73">
        <v>26</v>
      </c>
      <c r="B27" s="74" t="s">
        <v>116</v>
      </c>
      <c r="C27" s="74">
        <v>11353103</v>
      </c>
      <c r="D27" s="71" t="s">
        <v>144</v>
      </c>
      <c r="E27" s="71" t="s">
        <v>118</v>
      </c>
      <c r="G27" s="76"/>
      <c r="H27" s="76"/>
    </row>
    <row r="28" spans="1:8">
      <c r="A28" s="73">
        <v>27</v>
      </c>
      <c r="B28" s="74" t="s">
        <v>116</v>
      </c>
      <c r="C28" s="74">
        <v>11353594</v>
      </c>
      <c r="D28" s="71" t="s">
        <v>145</v>
      </c>
      <c r="E28" s="71" t="s">
        <v>118</v>
      </c>
    </row>
    <row r="29" spans="1:8">
      <c r="A29" s="73">
        <v>28</v>
      </c>
      <c r="B29" s="74" t="s">
        <v>116</v>
      </c>
      <c r="C29" s="74">
        <v>11354514</v>
      </c>
      <c r="D29" s="71" t="s">
        <v>146</v>
      </c>
      <c r="E29" s="71" t="s">
        <v>118</v>
      </c>
    </row>
    <row r="30" spans="1:8">
      <c r="A30" s="73">
        <v>29</v>
      </c>
      <c r="B30" s="74" t="s">
        <v>116</v>
      </c>
      <c r="C30" s="74">
        <v>11354123</v>
      </c>
      <c r="D30" s="71" t="s">
        <v>147</v>
      </c>
      <c r="E30" s="71" t="s">
        <v>118</v>
      </c>
    </row>
    <row r="31" spans="1:8">
      <c r="A31" s="73">
        <v>30</v>
      </c>
      <c r="B31" s="74" t="s">
        <v>116</v>
      </c>
      <c r="C31" s="74">
        <v>11350897</v>
      </c>
      <c r="D31" s="71" t="s">
        <v>148</v>
      </c>
      <c r="E31" s="71" t="s">
        <v>118</v>
      </c>
    </row>
    <row r="32" spans="1:8">
      <c r="A32" s="73">
        <v>31</v>
      </c>
      <c r="B32" s="74" t="s">
        <v>116</v>
      </c>
      <c r="C32" s="74">
        <v>11354338</v>
      </c>
      <c r="D32" s="71" t="s">
        <v>149</v>
      </c>
      <c r="E32" s="71" t="s">
        <v>118</v>
      </c>
    </row>
    <row r="33" spans="1:5">
      <c r="A33" s="73">
        <v>32</v>
      </c>
      <c r="B33" s="74" t="s">
        <v>116</v>
      </c>
      <c r="C33" s="74">
        <v>11352367</v>
      </c>
      <c r="D33" s="71" t="s">
        <v>150</v>
      </c>
      <c r="E33" s="71" t="s">
        <v>118</v>
      </c>
    </row>
    <row r="34" spans="1:5">
      <c r="A34" s="73">
        <v>33</v>
      </c>
      <c r="B34" s="74" t="s">
        <v>116</v>
      </c>
      <c r="C34" s="74">
        <v>11334429</v>
      </c>
      <c r="D34" s="71" t="s">
        <v>151</v>
      </c>
      <c r="E34" s="71" t="s">
        <v>118</v>
      </c>
    </row>
    <row r="35" spans="1:5">
      <c r="A35" s="73">
        <v>34</v>
      </c>
      <c r="B35" s="74" t="s">
        <v>116</v>
      </c>
      <c r="C35" s="74">
        <v>11352954</v>
      </c>
      <c r="D35" s="71" t="s">
        <v>152</v>
      </c>
      <c r="E35" s="71" t="s">
        <v>118</v>
      </c>
    </row>
    <row r="36" spans="1:5">
      <c r="A36" s="73">
        <v>35</v>
      </c>
      <c r="B36" s="74" t="s">
        <v>116</v>
      </c>
      <c r="C36" s="74">
        <v>11354662</v>
      </c>
      <c r="D36" s="71" t="s">
        <v>153</v>
      </c>
      <c r="E36" s="71" t="s">
        <v>118</v>
      </c>
    </row>
    <row r="37" spans="1:5">
      <c r="A37" s="73">
        <v>36</v>
      </c>
      <c r="B37" s="74" t="s">
        <v>116</v>
      </c>
      <c r="C37" s="74">
        <v>11334395</v>
      </c>
      <c r="D37" s="71" t="s">
        <v>154</v>
      </c>
      <c r="E37" s="71" t="s">
        <v>118</v>
      </c>
    </row>
    <row r="38" spans="1:5">
      <c r="A38" s="73">
        <v>37</v>
      </c>
      <c r="B38" s="74" t="s">
        <v>116</v>
      </c>
      <c r="C38" s="74">
        <v>11350499</v>
      </c>
      <c r="D38" s="71" t="s">
        <v>155</v>
      </c>
      <c r="E38" s="71" t="s">
        <v>118</v>
      </c>
    </row>
    <row r="39" spans="1:5">
      <c r="A39" s="73">
        <v>38</v>
      </c>
      <c r="B39" s="74" t="s">
        <v>116</v>
      </c>
      <c r="C39" s="74">
        <v>11353986</v>
      </c>
      <c r="D39" s="71" t="s">
        <v>156</v>
      </c>
      <c r="E39" s="71" t="s">
        <v>118</v>
      </c>
    </row>
    <row r="40" spans="1:5">
      <c r="A40" s="73">
        <v>39</v>
      </c>
      <c r="B40" s="74" t="s">
        <v>116</v>
      </c>
      <c r="C40" s="74">
        <v>11337264</v>
      </c>
      <c r="D40" s="71" t="s">
        <v>157</v>
      </c>
      <c r="E40" s="71" t="s">
        <v>118</v>
      </c>
    </row>
    <row r="41" spans="1:5">
      <c r="A41" s="73">
        <v>40</v>
      </c>
      <c r="B41" s="74" t="s">
        <v>116</v>
      </c>
      <c r="C41" s="74">
        <v>11352241</v>
      </c>
      <c r="D41" s="71" t="s">
        <v>158</v>
      </c>
      <c r="E41" s="71" t="s">
        <v>118</v>
      </c>
    </row>
    <row r="42" spans="1:5">
      <c r="A42" s="73">
        <v>41</v>
      </c>
      <c r="B42" s="74" t="s">
        <v>116</v>
      </c>
      <c r="C42" s="74">
        <v>11348184</v>
      </c>
      <c r="D42" s="71" t="s">
        <v>159</v>
      </c>
      <c r="E42" s="71" t="s">
        <v>118</v>
      </c>
    </row>
    <row r="43" spans="1:5">
      <c r="A43" s="73">
        <v>42</v>
      </c>
      <c r="B43" s="74" t="s">
        <v>116</v>
      </c>
      <c r="C43" s="74">
        <v>11353729</v>
      </c>
      <c r="D43" s="71" t="s">
        <v>160</v>
      </c>
      <c r="E43" s="71" t="s">
        <v>118</v>
      </c>
    </row>
    <row r="44" spans="1:5">
      <c r="A44" s="73">
        <v>43</v>
      </c>
      <c r="B44" s="74" t="s">
        <v>116</v>
      </c>
      <c r="C44" s="74">
        <v>11349669</v>
      </c>
      <c r="D44" s="71" t="s">
        <v>161</v>
      </c>
      <c r="E44" s="71" t="s">
        <v>118</v>
      </c>
    </row>
    <row r="45" spans="1:5">
      <c r="A45" s="73">
        <v>44</v>
      </c>
      <c r="B45" s="74" t="s">
        <v>116</v>
      </c>
      <c r="C45" s="74">
        <v>11352259</v>
      </c>
      <c r="D45" s="71" t="s">
        <v>162</v>
      </c>
      <c r="E45" s="71" t="s">
        <v>118</v>
      </c>
    </row>
    <row r="46" spans="1:5">
      <c r="A46" s="73">
        <v>45</v>
      </c>
      <c r="B46" s="74" t="s">
        <v>116</v>
      </c>
      <c r="C46" s="74">
        <v>11349417</v>
      </c>
      <c r="D46" s="71" t="s">
        <v>163</v>
      </c>
      <c r="E46" s="71" t="s">
        <v>118</v>
      </c>
    </row>
    <row r="47" spans="1:5">
      <c r="A47" s="73">
        <v>46</v>
      </c>
      <c r="B47" s="74" t="s">
        <v>116</v>
      </c>
      <c r="C47" s="74">
        <v>11334103</v>
      </c>
      <c r="D47" s="71" t="s">
        <v>164</v>
      </c>
      <c r="E47" s="71" t="s">
        <v>118</v>
      </c>
    </row>
    <row r="48" spans="1:5">
      <c r="A48" s="73">
        <v>47</v>
      </c>
      <c r="B48" s="74" t="s">
        <v>116</v>
      </c>
      <c r="C48" s="74">
        <v>11347887</v>
      </c>
      <c r="D48" s="71" t="s">
        <v>165</v>
      </c>
      <c r="E48" s="71" t="s">
        <v>118</v>
      </c>
    </row>
    <row r="49" spans="1:5">
      <c r="A49" s="73">
        <v>48</v>
      </c>
      <c r="B49" s="74" t="s">
        <v>116</v>
      </c>
      <c r="C49" s="74">
        <v>11351538</v>
      </c>
      <c r="D49" s="71" t="s">
        <v>166</v>
      </c>
      <c r="E49" s="71" t="s">
        <v>118</v>
      </c>
    </row>
    <row r="50" spans="1:5">
      <c r="A50" s="73">
        <v>49</v>
      </c>
      <c r="B50" s="74" t="s">
        <v>116</v>
      </c>
      <c r="C50" s="74">
        <v>11330269</v>
      </c>
      <c r="D50" s="71" t="s">
        <v>167</v>
      </c>
      <c r="E50" s="71" t="s">
        <v>168</v>
      </c>
    </row>
    <row r="51" spans="1:5">
      <c r="A51" s="73">
        <v>50</v>
      </c>
      <c r="B51" s="74" t="s">
        <v>116</v>
      </c>
      <c r="C51" s="74">
        <v>11354761</v>
      </c>
      <c r="D51" s="71" t="s">
        <v>169</v>
      </c>
      <c r="E51" s="71" t="s">
        <v>168</v>
      </c>
    </row>
    <row r="52" spans="1:5">
      <c r="A52" s="73">
        <v>51</v>
      </c>
      <c r="B52" s="74" t="s">
        <v>116</v>
      </c>
      <c r="C52" s="74">
        <v>11354108</v>
      </c>
      <c r="D52" s="71" t="s">
        <v>170</v>
      </c>
      <c r="E52" s="71" t="s">
        <v>168</v>
      </c>
    </row>
    <row r="53" spans="1:5">
      <c r="A53" s="73">
        <v>52</v>
      </c>
      <c r="B53" s="74" t="s">
        <v>116</v>
      </c>
      <c r="C53" s="74">
        <v>11353621</v>
      </c>
      <c r="D53" s="71" t="s">
        <v>171</v>
      </c>
      <c r="E53" s="71" t="s">
        <v>168</v>
      </c>
    </row>
    <row r="54" spans="1:5">
      <c r="A54" s="73">
        <v>53</v>
      </c>
      <c r="B54" s="74" t="s">
        <v>116</v>
      </c>
      <c r="C54" s="74">
        <v>11336381</v>
      </c>
      <c r="D54" s="71" t="s">
        <v>172</v>
      </c>
      <c r="E54" s="71" t="s">
        <v>168</v>
      </c>
    </row>
    <row r="55" spans="1:5">
      <c r="A55" s="73">
        <v>54</v>
      </c>
      <c r="B55" s="74" t="s">
        <v>116</v>
      </c>
      <c r="C55" s="74">
        <v>11348871</v>
      </c>
      <c r="D55" s="71" t="s">
        <v>173</v>
      </c>
      <c r="E55" s="71" t="s">
        <v>168</v>
      </c>
    </row>
    <row r="56" spans="1:5">
      <c r="A56" s="73">
        <v>55</v>
      </c>
      <c r="B56" s="74" t="s">
        <v>116</v>
      </c>
      <c r="C56" s="74">
        <v>11353992</v>
      </c>
      <c r="D56" s="71" t="s">
        <v>174</v>
      </c>
      <c r="E56" s="71" t="s">
        <v>168</v>
      </c>
    </row>
    <row r="57" spans="1:5">
      <c r="A57" s="73">
        <v>56</v>
      </c>
      <c r="B57" s="74" t="s">
        <v>116</v>
      </c>
      <c r="C57" s="74">
        <v>11333772</v>
      </c>
      <c r="D57" s="71" t="s">
        <v>175</v>
      </c>
      <c r="E57" s="71" t="s">
        <v>168</v>
      </c>
    </row>
    <row r="58" spans="1:5">
      <c r="A58" s="73">
        <v>57</v>
      </c>
      <c r="B58" s="74" t="s">
        <v>116</v>
      </c>
      <c r="C58" s="74">
        <v>11354530</v>
      </c>
      <c r="D58" s="71" t="s">
        <v>176</v>
      </c>
      <c r="E58" s="71" t="s">
        <v>168</v>
      </c>
    </row>
    <row r="59" spans="1:5">
      <c r="A59" s="73">
        <v>58</v>
      </c>
      <c r="B59" s="74" t="s">
        <v>116</v>
      </c>
      <c r="C59" s="74">
        <v>11334745</v>
      </c>
      <c r="D59" s="71" t="s">
        <v>177</v>
      </c>
      <c r="E59" s="71" t="s">
        <v>168</v>
      </c>
    </row>
    <row r="60" spans="1:5">
      <c r="A60" s="73">
        <v>59</v>
      </c>
      <c r="B60" s="74" t="s">
        <v>116</v>
      </c>
      <c r="C60" s="74">
        <v>11351383</v>
      </c>
      <c r="D60" s="71" t="s">
        <v>178</v>
      </c>
      <c r="E60" s="71" t="s">
        <v>168</v>
      </c>
    </row>
    <row r="61" spans="1:5">
      <c r="A61" s="73">
        <v>60</v>
      </c>
      <c r="B61" s="74" t="s">
        <v>116</v>
      </c>
      <c r="C61" s="74">
        <v>11334201</v>
      </c>
      <c r="D61" s="71" t="s">
        <v>179</v>
      </c>
      <c r="E61" s="71" t="s">
        <v>168</v>
      </c>
    </row>
    <row r="62" spans="1:5">
      <c r="A62" s="73">
        <v>61</v>
      </c>
      <c r="B62" s="74" t="s">
        <v>116</v>
      </c>
      <c r="C62" s="74">
        <v>11349978</v>
      </c>
      <c r="D62" s="71" t="s">
        <v>180</v>
      </c>
      <c r="E62" s="71" t="s">
        <v>168</v>
      </c>
    </row>
    <row r="63" spans="1:5">
      <c r="A63" s="73">
        <v>62</v>
      </c>
      <c r="B63" s="74" t="s">
        <v>116</v>
      </c>
      <c r="C63" s="74">
        <v>11334145</v>
      </c>
      <c r="D63" s="71" t="s">
        <v>181</v>
      </c>
      <c r="E63" s="71" t="s">
        <v>168</v>
      </c>
    </row>
    <row r="64" spans="1:5">
      <c r="A64" s="73">
        <v>63</v>
      </c>
      <c r="B64" s="74" t="s">
        <v>116</v>
      </c>
      <c r="C64" s="74">
        <v>11333558</v>
      </c>
      <c r="D64" s="71" t="s">
        <v>182</v>
      </c>
      <c r="E64" s="71" t="s">
        <v>168</v>
      </c>
    </row>
    <row r="65" spans="1:5">
      <c r="A65" s="73">
        <v>64</v>
      </c>
      <c r="B65" s="74" t="s">
        <v>116</v>
      </c>
      <c r="C65" s="74">
        <v>11352253</v>
      </c>
      <c r="D65" s="71" t="s">
        <v>183</v>
      </c>
      <c r="E65" s="71" t="s">
        <v>168</v>
      </c>
    </row>
    <row r="66" spans="1:5">
      <c r="A66" s="73">
        <v>65</v>
      </c>
      <c r="B66" s="74" t="s">
        <v>116</v>
      </c>
      <c r="C66" s="74">
        <v>11333458</v>
      </c>
      <c r="D66" s="71" t="s">
        <v>184</v>
      </c>
      <c r="E66" s="71" t="s">
        <v>168</v>
      </c>
    </row>
    <row r="67" spans="1:5">
      <c r="A67" s="73">
        <v>66</v>
      </c>
      <c r="B67" s="74" t="s">
        <v>116</v>
      </c>
      <c r="C67" s="74">
        <v>11335986</v>
      </c>
      <c r="D67" s="71" t="s">
        <v>185</v>
      </c>
      <c r="E67" s="71" t="s">
        <v>168</v>
      </c>
    </row>
    <row r="68" spans="1:5">
      <c r="A68" s="73">
        <v>67</v>
      </c>
      <c r="B68" s="74" t="s">
        <v>116</v>
      </c>
      <c r="C68" s="74">
        <v>11337270</v>
      </c>
      <c r="D68" s="71" t="s">
        <v>186</v>
      </c>
      <c r="E68" s="71" t="s">
        <v>168</v>
      </c>
    </row>
    <row r="69" spans="1:5">
      <c r="A69" s="73">
        <v>68</v>
      </c>
      <c r="B69" s="74" t="s">
        <v>116</v>
      </c>
      <c r="C69" s="74">
        <v>11332677</v>
      </c>
      <c r="D69" s="71" t="s">
        <v>187</v>
      </c>
      <c r="E69" s="71" t="s">
        <v>168</v>
      </c>
    </row>
    <row r="70" spans="1:5">
      <c r="A70" s="73">
        <v>69</v>
      </c>
      <c r="B70" s="74" t="s">
        <v>116</v>
      </c>
      <c r="C70" s="74">
        <v>11354640</v>
      </c>
      <c r="D70" s="71" t="s">
        <v>188</v>
      </c>
      <c r="E70" s="71" t="s">
        <v>168</v>
      </c>
    </row>
    <row r="71" spans="1:5">
      <c r="A71" s="73">
        <v>70</v>
      </c>
      <c r="B71" s="74" t="s">
        <v>116</v>
      </c>
      <c r="C71" s="74">
        <v>11335771</v>
      </c>
      <c r="D71" s="71" t="s">
        <v>189</v>
      </c>
      <c r="E71" s="71" t="s">
        <v>168</v>
      </c>
    </row>
    <row r="72" spans="1:5">
      <c r="A72" s="73">
        <v>71</v>
      </c>
      <c r="B72" s="74" t="s">
        <v>116</v>
      </c>
      <c r="C72" s="74">
        <v>11352862</v>
      </c>
      <c r="D72" s="71" t="s">
        <v>190</v>
      </c>
      <c r="E72" s="71" t="s">
        <v>168</v>
      </c>
    </row>
    <row r="73" spans="1:5">
      <c r="A73" s="73">
        <v>72</v>
      </c>
      <c r="B73" s="74" t="s">
        <v>116</v>
      </c>
      <c r="C73" s="74">
        <v>11336795</v>
      </c>
      <c r="D73" s="71" t="s">
        <v>191</v>
      </c>
      <c r="E73" s="71" t="s">
        <v>168</v>
      </c>
    </row>
    <row r="74" spans="1:5">
      <c r="A74" s="73">
        <v>73</v>
      </c>
      <c r="B74" s="74" t="s">
        <v>116</v>
      </c>
      <c r="C74" s="74">
        <v>11333977</v>
      </c>
      <c r="D74" s="71" t="s">
        <v>192</v>
      </c>
      <c r="E74" s="71" t="s">
        <v>168</v>
      </c>
    </row>
    <row r="75" spans="1:5">
      <c r="A75" s="73">
        <v>74</v>
      </c>
      <c r="B75" s="74" t="s">
        <v>116</v>
      </c>
      <c r="C75" s="74">
        <v>11349672</v>
      </c>
      <c r="D75" s="71" t="s">
        <v>193</v>
      </c>
      <c r="E75" s="71" t="s">
        <v>168</v>
      </c>
    </row>
    <row r="76" spans="1:5">
      <c r="A76" s="73">
        <v>75</v>
      </c>
      <c r="B76" s="74" t="s">
        <v>116</v>
      </c>
      <c r="C76" s="74">
        <v>11349816</v>
      </c>
      <c r="D76" s="71" t="s">
        <v>194</v>
      </c>
      <c r="E76" s="71" t="s">
        <v>168</v>
      </c>
    </row>
    <row r="77" spans="1:5">
      <c r="A77" s="73">
        <v>76</v>
      </c>
      <c r="B77" s="74" t="s">
        <v>116</v>
      </c>
      <c r="C77" s="74">
        <v>11351870</v>
      </c>
      <c r="D77" s="71" t="s">
        <v>195</v>
      </c>
      <c r="E77" s="71" t="s">
        <v>168</v>
      </c>
    </row>
    <row r="78" spans="1:5">
      <c r="A78" s="73">
        <v>77</v>
      </c>
      <c r="B78" s="74" t="s">
        <v>116</v>
      </c>
      <c r="C78" s="74">
        <v>11351770</v>
      </c>
      <c r="D78" s="71" t="s">
        <v>196</v>
      </c>
      <c r="E78" s="71" t="s">
        <v>168</v>
      </c>
    </row>
    <row r="79" spans="1:5">
      <c r="A79" s="73">
        <v>78</v>
      </c>
      <c r="B79" s="74" t="s">
        <v>116</v>
      </c>
      <c r="C79" s="74">
        <v>11331503</v>
      </c>
      <c r="D79" s="71" t="s">
        <v>197</v>
      </c>
      <c r="E79" s="71" t="s">
        <v>168</v>
      </c>
    </row>
    <row r="80" spans="1:5">
      <c r="A80" s="73">
        <v>79</v>
      </c>
      <c r="B80" s="74" t="s">
        <v>116</v>
      </c>
      <c r="C80" s="74">
        <v>11332971</v>
      </c>
      <c r="D80" s="71" t="s">
        <v>198</v>
      </c>
      <c r="E80" s="71" t="s">
        <v>168</v>
      </c>
    </row>
    <row r="81" spans="1:5">
      <c r="A81" s="73">
        <v>80</v>
      </c>
      <c r="B81" s="74" t="s">
        <v>116</v>
      </c>
      <c r="C81" s="74">
        <v>11352897</v>
      </c>
      <c r="D81" s="71" t="s">
        <v>199</v>
      </c>
      <c r="E81" s="71" t="s">
        <v>168</v>
      </c>
    </row>
    <row r="82" spans="1:5">
      <c r="A82" s="73">
        <v>81</v>
      </c>
      <c r="B82" s="74" t="s">
        <v>116</v>
      </c>
      <c r="C82" s="74">
        <v>11351318</v>
      </c>
      <c r="D82" s="71" t="s">
        <v>200</v>
      </c>
      <c r="E82" s="71" t="s">
        <v>168</v>
      </c>
    </row>
    <row r="83" spans="1:5">
      <c r="A83" s="73">
        <v>82</v>
      </c>
      <c r="B83" s="74" t="s">
        <v>116</v>
      </c>
      <c r="C83" s="74">
        <v>11339237</v>
      </c>
      <c r="D83" s="71" t="s">
        <v>201</v>
      </c>
      <c r="E83" s="71" t="s">
        <v>168</v>
      </c>
    </row>
    <row r="84" spans="1:5">
      <c r="A84" s="73">
        <v>83</v>
      </c>
      <c r="B84" s="74" t="s">
        <v>116</v>
      </c>
      <c r="C84" s="74">
        <v>11333966</v>
      </c>
      <c r="D84" s="71" t="s">
        <v>202</v>
      </c>
      <c r="E84" s="71" t="s">
        <v>168</v>
      </c>
    </row>
    <row r="85" spans="1:5">
      <c r="A85" s="73">
        <v>84</v>
      </c>
      <c r="B85" s="74" t="s">
        <v>116</v>
      </c>
      <c r="C85" s="74">
        <v>11351401</v>
      </c>
      <c r="D85" s="71" t="s">
        <v>203</v>
      </c>
      <c r="E85" s="71" t="s">
        <v>168</v>
      </c>
    </row>
    <row r="86" spans="1:5">
      <c r="A86" s="73">
        <v>85</v>
      </c>
      <c r="B86" s="74" t="s">
        <v>116</v>
      </c>
      <c r="C86" s="74">
        <v>11352875</v>
      </c>
      <c r="D86" s="71" t="s">
        <v>204</v>
      </c>
      <c r="E86" s="71" t="s">
        <v>168</v>
      </c>
    </row>
    <row r="87" spans="1:5">
      <c r="A87" s="73">
        <v>86</v>
      </c>
      <c r="B87" s="74" t="s">
        <v>116</v>
      </c>
      <c r="C87" s="74">
        <v>11333728</v>
      </c>
      <c r="D87" s="71" t="s">
        <v>205</v>
      </c>
      <c r="E87" s="71" t="s">
        <v>168</v>
      </c>
    </row>
    <row r="88" spans="1:5">
      <c r="A88" s="73">
        <v>87</v>
      </c>
      <c r="B88" s="74" t="s">
        <v>116</v>
      </c>
      <c r="C88" s="74">
        <v>11348795</v>
      </c>
      <c r="D88" s="71" t="s">
        <v>206</v>
      </c>
      <c r="E88" s="71" t="s">
        <v>168</v>
      </c>
    </row>
    <row r="89" spans="1:5">
      <c r="A89" s="73">
        <v>88</v>
      </c>
      <c r="B89" s="74" t="s">
        <v>116</v>
      </c>
      <c r="C89" s="74">
        <v>11351772</v>
      </c>
      <c r="D89" s="71" t="s">
        <v>207</v>
      </c>
      <c r="E89" s="71" t="s">
        <v>168</v>
      </c>
    </row>
    <row r="90" spans="1:5">
      <c r="A90" s="73">
        <v>89</v>
      </c>
      <c r="B90" s="74" t="s">
        <v>116</v>
      </c>
      <c r="C90" s="74">
        <v>11351701</v>
      </c>
      <c r="D90" s="71" t="s">
        <v>208</v>
      </c>
      <c r="E90" s="71" t="s">
        <v>168</v>
      </c>
    </row>
    <row r="91" spans="1:5">
      <c r="A91" s="73">
        <v>90</v>
      </c>
      <c r="B91" s="74" t="s">
        <v>116</v>
      </c>
      <c r="C91" s="74">
        <v>11350422</v>
      </c>
      <c r="D91" s="71" t="s">
        <v>209</v>
      </c>
      <c r="E91" s="71" t="s">
        <v>168</v>
      </c>
    </row>
    <row r="92" spans="1:5">
      <c r="A92" s="73">
        <v>91</v>
      </c>
      <c r="B92" s="74" t="s">
        <v>116</v>
      </c>
      <c r="C92" s="74">
        <v>11335471</v>
      </c>
      <c r="D92" s="71" t="s">
        <v>210</v>
      </c>
      <c r="E92" s="71" t="s">
        <v>168</v>
      </c>
    </row>
    <row r="93" spans="1:5">
      <c r="A93" s="73">
        <v>92</v>
      </c>
      <c r="B93" s="74" t="s">
        <v>116</v>
      </c>
      <c r="C93" s="74">
        <v>11355041</v>
      </c>
      <c r="D93" s="71" t="s">
        <v>211</v>
      </c>
      <c r="E93" s="71" t="s">
        <v>168</v>
      </c>
    </row>
    <row r="94" spans="1:5">
      <c r="A94" s="73">
        <v>93</v>
      </c>
      <c r="B94" s="74" t="s">
        <v>116</v>
      </c>
      <c r="C94" s="74">
        <v>11353213</v>
      </c>
      <c r="D94" s="71" t="s">
        <v>212</v>
      </c>
      <c r="E94" s="71" t="s">
        <v>168</v>
      </c>
    </row>
    <row r="95" spans="1:5">
      <c r="A95" s="73">
        <v>94</v>
      </c>
      <c r="B95" s="74" t="s">
        <v>116</v>
      </c>
      <c r="C95" s="74">
        <v>11333155</v>
      </c>
      <c r="D95" s="71" t="s">
        <v>213</v>
      </c>
      <c r="E95" s="71" t="s">
        <v>168</v>
      </c>
    </row>
    <row r="96" spans="1:5">
      <c r="A96" s="73">
        <v>95</v>
      </c>
      <c r="B96" s="74" t="s">
        <v>116</v>
      </c>
      <c r="C96" s="74">
        <v>11353585</v>
      </c>
      <c r="D96" s="71" t="s">
        <v>214</v>
      </c>
      <c r="E96" s="71" t="s">
        <v>168</v>
      </c>
    </row>
    <row r="97" spans="1:5">
      <c r="A97" s="73">
        <v>96</v>
      </c>
      <c r="B97" s="74" t="s">
        <v>116</v>
      </c>
      <c r="C97" s="74">
        <v>11354039</v>
      </c>
      <c r="D97" s="71" t="s">
        <v>215</v>
      </c>
      <c r="E97" s="71" t="s">
        <v>168</v>
      </c>
    </row>
    <row r="98" spans="1:5">
      <c r="A98" s="73">
        <v>97</v>
      </c>
      <c r="B98" s="74" t="s">
        <v>116</v>
      </c>
      <c r="C98" s="74">
        <v>11354184</v>
      </c>
      <c r="D98" s="71" t="s">
        <v>216</v>
      </c>
      <c r="E98" s="71" t="s">
        <v>168</v>
      </c>
    </row>
    <row r="99" spans="1:5">
      <c r="A99" s="73">
        <v>98</v>
      </c>
      <c r="B99" s="74" t="s">
        <v>116</v>
      </c>
      <c r="C99" s="74">
        <v>11353824</v>
      </c>
      <c r="D99" s="71" t="s">
        <v>217</v>
      </c>
      <c r="E99" s="71" t="s">
        <v>168</v>
      </c>
    </row>
    <row r="100" spans="1:5">
      <c r="A100" s="73">
        <v>99</v>
      </c>
      <c r="B100" s="74" t="s">
        <v>116</v>
      </c>
      <c r="C100" s="74">
        <v>11352863</v>
      </c>
      <c r="D100" s="71" t="s">
        <v>218</v>
      </c>
      <c r="E100" s="71" t="s">
        <v>168</v>
      </c>
    </row>
    <row r="101" spans="1:5">
      <c r="A101" s="73">
        <v>100</v>
      </c>
      <c r="B101" s="74" t="s">
        <v>116</v>
      </c>
      <c r="C101" s="74">
        <v>11350424</v>
      </c>
      <c r="D101" s="71" t="s">
        <v>219</v>
      </c>
      <c r="E101" s="71" t="s">
        <v>168</v>
      </c>
    </row>
    <row r="102" spans="1:5">
      <c r="A102" s="73">
        <v>101</v>
      </c>
      <c r="B102" s="74" t="s">
        <v>116</v>
      </c>
      <c r="C102" s="74">
        <v>11353771</v>
      </c>
      <c r="D102" s="71" t="s">
        <v>220</v>
      </c>
      <c r="E102" s="71" t="s">
        <v>168</v>
      </c>
    </row>
    <row r="103" spans="1:5">
      <c r="A103" s="73">
        <v>102</v>
      </c>
      <c r="B103" s="74" t="s">
        <v>116</v>
      </c>
      <c r="C103" s="74">
        <v>11353751</v>
      </c>
      <c r="D103" s="71" t="s">
        <v>221</v>
      </c>
      <c r="E103" s="71" t="s">
        <v>168</v>
      </c>
    </row>
    <row r="104" spans="1:5">
      <c r="A104" s="73">
        <v>103</v>
      </c>
      <c r="B104" s="74" t="s">
        <v>116</v>
      </c>
      <c r="C104" s="74">
        <v>11336490</v>
      </c>
      <c r="D104" s="71" t="s">
        <v>222</v>
      </c>
      <c r="E104" s="71" t="s">
        <v>168</v>
      </c>
    </row>
    <row r="105" spans="1:5">
      <c r="A105" s="73">
        <v>104</v>
      </c>
      <c r="B105" s="74" t="s">
        <v>116</v>
      </c>
      <c r="C105" s="74">
        <v>11351566</v>
      </c>
      <c r="D105" s="71" t="s">
        <v>223</v>
      </c>
      <c r="E105" s="71" t="s">
        <v>168</v>
      </c>
    </row>
    <row r="106" spans="1:5">
      <c r="A106" s="73">
        <v>105</v>
      </c>
      <c r="B106" s="74" t="s">
        <v>116</v>
      </c>
      <c r="C106" s="74">
        <v>11352541</v>
      </c>
      <c r="D106" s="71" t="s">
        <v>224</v>
      </c>
      <c r="E106" s="71" t="s">
        <v>225</v>
      </c>
    </row>
    <row r="107" spans="1:5">
      <c r="A107" s="73">
        <v>106</v>
      </c>
      <c r="B107" s="74" t="s">
        <v>116</v>
      </c>
      <c r="C107" s="74">
        <v>11352909</v>
      </c>
      <c r="D107" s="71" t="s">
        <v>226</v>
      </c>
      <c r="E107" s="71" t="s">
        <v>225</v>
      </c>
    </row>
    <row r="108" spans="1:5">
      <c r="A108" s="73">
        <v>107</v>
      </c>
      <c r="B108" s="74" t="s">
        <v>116</v>
      </c>
      <c r="C108" s="74">
        <v>11351411</v>
      </c>
      <c r="D108" s="71" t="s">
        <v>227</v>
      </c>
      <c r="E108" s="71" t="s">
        <v>225</v>
      </c>
    </row>
    <row r="109" spans="1:5">
      <c r="A109" s="73">
        <v>108</v>
      </c>
      <c r="B109" s="74" t="s">
        <v>116</v>
      </c>
      <c r="C109" s="74">
        <v>11333813</v>
      </c>
      <c r="D109" s="71" t="s">
        <v>228</v>
      </c>
      <c r="E109" s="71" t="s">
        <v>225</v>
      </c>
    </row>
    <row r="110" spans="1:5">
      <c r="A110" s="73">
        <v>109</v>
      </c>
      <c r="B110" s="74" t="s">
        <v>116</v>
      </c>
      <c r="C110" s="74">
        <v>11352237</v>
      </c>
      <c r="D110" s="71" t="s">
        <v>229</v>
      </c>
      <c r="E110" s="71" t="s">
        <v>225</v>
      </c>
    </row>
    <row r="111" spans="1:5">
      <c r="A111" s="73">
        <v>110</v>
      </c>
      <c r="B111" s="74" t="s">
        <v>116</v>
      </c>
      <c r="C111" s="74">
        <v>11350791</v>
      </c>
      <c r="D111" s="71" t="s">
        <v>230</v>
      </c>
      <c r="E111" s="71" t="s">
        <v>225</v>
      </c>
    </row>
    <row r="112" spans="1:5">
      <c r="A112" s="73">
        <v>111</v>
      </c>
      <c r="B112" s="74" t="s">
        <v>116</v>
      </c>
      <c r="C112" s="74">
        <v>11353721</v>
      </c>
      <c r="D112" s="71" t="s">
        <v>231</v>
      </c>
      <c r="E112" s="71" t="s">
        <v>225</v>
      </c>
    </row>
    <row r="113" spans="1:5">
      <c r="A113" s="73">
        <v>112</v>
      </c>
      <c r="B113" s="74" t="s">
        <v>116</v>
      </c>
      <c r="C113" s="74">
        <v>11337333</v>
      </c>
      <c r="D113" s="71" t="s">
        <v>232</v>
      </c>
      <c r="E113" s="71" t="s">
        <v>225</v>
      </c>
    </row>
    <row r="114" spans="1:5">
      <c r="A114" s="73">
        <v>113</v>
      </c>
      <c r="B114" s="74" t="s">
        <v>116</v>
      </c>
      <c r="C114" s="74">
        <v>11322910</v>
      </c>
      <c r="D114" s="71" t="s">
        <v>233</v>
      </c>
      <c r="E114" s="71" t="s">
        <v>225</v>
      </c>
    </row>
    <row r="115" spans="1:5">
      <c r="A115" s="73">
        <v>114</v>
      </c>
      <c r="B115" s="74" t="s">
        <v>116</v>
      </c>
      <c r="C115" s="74">
        <v>11351369</v>
      </c>
      <c r="D115" s="71" t="s">
        <v>234</v>
      </c>
      <c r="E115" s="71" t="s">
        <v>225</v>
      </c>
    </row>
    <row r="116" spans="1:5">
      <c r="A116" s="73">
        <v>115</v>
      </c>
      <c r="B116" s="74" t="s">
        <v>116</v>
      </c>
      <c r="C116" s="74">
        <v>11353849</v>
      </c>
      <c r="D116" s="71" t="s">
        <v>235</v>
      </c>
      <c r="E116" s="71" t="s">
        <v>225</v>
      </c>
    </row>
    <row r="117" spans="1:5">
      <c r="A117" s="73">
        <v>116</v>
      </c>
      <c r="B117" s="74" t="s">
        <v>116</v>
      </c>
      <c r="C117" s="74">
        <v>11353623</v>
      </c>
      <c r="D117" s="71" t="s">
        <v>236</v>
      </c>
      <c r="E117" s="71" t="s">
        <v>225</v>
      </c>
    </row>
    <row r="118" spans="1:5">
      <c r="A118" s="73">
        <v>117</v>
      </c>
      <c r="B118" s="74" t="s">
        <v>116</v>
      </c>
      <c r="C118" s="74">
        <v>11350999</v>
      </c>
      <c r="D118" s="71" t="s">
        <v>237</v>
      </c>
      <c r="E118" s="71" t="s">
        <v>225</v>
      </c>
    </row>
    <row r="119" spans="1:5">
      <c r="A119" s="73">
        <v>118</v>
      </c>
      <c r="B119" s="74" t="s">
        <v>116</v>
      </c>
      <c r="C119" s="74">
        <v>11335017</v>
      </c>
      <c r="D119" s="71" t="s">
        <v>238</v>
      </c>
      <c r="E119" s="71" t="s">
        <v>225</v>
      </c>
    </row>
    <row r="120" spans="1:5">
      <c r="A120" s="73">
        <v>119</v>
      </c>
      <c r="B120" s="74" t="s">
        <v>116</v>
      </c>
      <c r="C120" s="74">
        <v>11354499</v>
      </c>
      <c r="D120" s="71" t="s">
        <v>239</v>
      </c>
      <c r="E120" s="71" t="s">
        <v>225</v>
      </c>
    </row>
    <row r="121" spans="1:5">
      <c r="A121" s="73">
        <v>120</v>
      </c>
      <c r="B121" s="74" t="s">
        <v>116</v>
      </c>
      <c r="C121" s="74">
        <v>11333936</v>
      </c>
      <c r="D121" s="71" t="s">
        <v>240</v>
      </c>
      <c r="E121" s="71" t="s">
        <v>225</v>
      </c>
    </row>
    <row r="122" spans="1:5">
      <c r="A122" s="73">
        <v>121</v>
      </c>
      <c r="B122" s="74" t="s">
        <v>116</v>
      </c>
      <c r="C122" s="74">
        <v>11354394</v>
      </c>
      <c r="D122" s="71" t="s">
        <v>241</v>
      </c>
      <c r="E122" s="71" t="s">
        <v>225</v>
      </c>
    </row>
    <row r="123" spans="1:5">
      <c r="A123" s="73">
        <v>122</v>
      </c>
      <c r="B123" s="74" t="s">
        <v>116</v>
      </c>
      <c r="C123" s="74">
        <v>11334181</v>
      </c>
      <c r="D123" s="71" t="s">
        <v>242</v>
      </c>
      <c r="E123" s="71" t="s">
        <v>225</v>
      </c>
    </row>
    <row r="124" spans="1:5">
      <c r="A124" s="73">
        <v>123</v>
      </c>
      <c r="B124" s="74" t="s">
        <v>116</v>
      </c>
      <c r="C124" s="74">
        <v>11354529</v>
      </c>
      <c r="D124" s="71" t="s">
        <v>243</v>
      </c>
      <c r="E124" s="71" t="s">
        <v>225</v>
      </c>
    </row>
    <row r="125" spans="1:5">
      <c r="A125" s="73">
        <v>124</v>
      </c>
      <c r="B125" s="74" t="s">
        <v>116</v>
      </c>
      <c r="C125" s="74">
        <v>11351298</v>
      </c>
      <c r="D125" s="71" t="s">
        <v>244</v>
      </c>
      <c r="E125" s="71" t="s">
        <v>225</v>
      </c>
    </row>
    <row r="126" spans="1:5">
      <c r="A126" s="73">
        <v>125</v>
      </c>
      <c r="B126" s="74" t="s">
        <v>116</v>
      </c>
      <c r="C126" s="74">
        <v>11354352</v>
      </c>
      <c r="D126" s="71" t="s">
        <v>245</v>
      </c>
      <c r="E126" s="71" t="s">
        <v>225</v>
      </c>
    </row>
    <row r="127" spans="1:5">
      <c r="A127" s="73">
        <v>126</v>
      </c>
      <c r="B127" s="74" t="s">
        <v>116</v>
      </c>
      <c r="C127" s="74">
        <v>11357409</v>
      </c>
      <c r="D127" s="71" t="s">
        <v>246</v>
      </c>
      <c r="E127" s="71" t="s">
        <v>225</v>
      </c>
    </row>
    <row r="128" spans="1:5">
      <c r="A128" s="73">
        <v>127</v>
      </c>
      <c r="B128" s="74" t="s">
        <v>116</v>
      </c>
      <c r="C128" s="74">
        <v>11353775</v>
      </c>
      <c r="D128" s="71" t="s">
        <v>247</v>
      </c>
      <c r="E128" s="71" t="s">
        <v>225</v>
      </c>
    </row>
    <row r="129" spans="1:5">
      <c r="A129" s="73">
        <v>128</v>
      </c>
      <c r="B129" s="74" t="s">
        <v>116</v>
      </c>
      <c r="C129" s="74">
        <v>11332137</v>
      </c>
      <c r="D129" s="71" t="s">
        <v>248</v>
      </c>
      <c r="E129" s="71" t="s">
        <v>225</v>
      </c>
    </row>
    <row r="130" spans="1:5">
      <c r="A130" s="73">
        <v>129</v>
      </c>
      <c r="B130" s="74" t="s">
        <v>116</v>
      </c>
      <c r="C130" s="74">
        <v>11352906</v>
      </c>
      <c r="D130" s="71" t="s">
        <v>249</v>
      </c>
      <c r="E130" s="71" t="s">
        <v>225</v>
      </c>
    </row>
    <row r="131" spans="1:5">
      <c r="A131" s="73">
        <v>130</v>
      </c>
      <c r="B131" s="74" t="s">
        <v>116</v>
      </c>
      <c r="C131" s="74">
        <v>11354494</v>
      </c>
      <c r="D131" s="71" t="s">
        <v>250</v>
      </c>
      <c r="E131" s="71" t="s">
        <v>225</v>
      </c>
    </row>
    <row r="132" spans="1:5">
      <c r="A132" s="73">
        <v>131</v>
      </c>
      <c r="B132" s="74" t="s">
        <v>116</v>
      </c>
      <c r="C132" s="74">
        <v>11353605</v>
      </c>
      <c r="D132" s="71" t="s">
        <v>251</v>
      </c>
      <c r="E132" s="71" t="s">
        <v>225</v>
      </c>
    </row>
    <row r="133" spans="1:5">
      <c r="A133" s="73">
        <v>132</v>
      </c>
      <c r="B133" s="74" t="s">
        <v>116</v>
      </c>
      <c r="C133" s="74">
        <v>11354739</v>
      </c>
      <c r="D133" s="71" t="s">
        <v>252</v>
      </c>
      <c r="E133" s="71" t="s">
        <v>225</v>
      </c>
    </row>
    <row r="134" spans="1:5">
      <c r="A134" s="73">
        <v>133</v>
      </c>
      <c r="B134" s="74" t="s">
        <v>116</v>
      </c>
      <c r="C134" s="74">
        <v>11350187</v>
      </c>
      <c r="D134" s="71" t="s">
        <v>253</v>
      </c>
      <c r="E134" s="71" t="s">
        <v>225</v>
      </c>
    </row>
    <row r="135" spans="1:5">
      <c r="A135" s="73">
        <v>134</v>
      </c>
      <c r="B135" s="74" t="s">
        <v>116</v>
      </c>
      <c r="C135" s="74">
        <v>11352118</v>
      </c>
      <c r="D135" s="71" t="s">
        <v>254</v>
      </c>
      <c r="E135" s="71" t="s">
        <v>225</v>
      </c>
    </row>
    <row r="136" spans="1:5">
      <c r="A136" s="73">
        <v>135</v>
      </c>
      <c r="B136" s="74" t="s">
        <v>116</v>
      </c>
      <c r="C136" s="74">
        <v>11333178</v>
      </c>
      <c r="D136" s="71" t="s">
        <v>255</v>
      </c>
      <c r="E136" s="71" t="s">
        <v>225</v>
      </c>
    </row>
    <row r="137" spans="1:5">
      <c r="A137" s="73">
        <v>136</v>
      </c>
      <c r="B137" s="74" t="s">
        <v>116</v>
      </c>
      <c r="C137" s="74">
        <v>11303316</v>
      </c>
      <c r="D137" s="71" t="s">
        <v>256</v>
      </c>
      <c r="E137" s="71" t="s">
        <v>225</v>
      </c>
    </row>
    <row r="138" spans="1:5">
      <c r="A138" s="73">
        <v>137</v>
      </c>
      <c r="B138" s="74" t="s">
        <v>116</v>
      </c>
      <c r="C138" s="74">
        <v>11333156</v>
      </c>
      <c r="D138" s="71" t="s">
        <v>257</v>
      </c>
      <c r="E138" s="71" t="s">
        <v>225</v>
      </c>
    </row>
    <row r="139" spans="1:5">
      <c r="A139" s="73">
        <v>138</v>
      </c>
      <c r="B139" s="74" t="s">
        <v>116</v>
      </c>
      <c r="C139" s="74">
        <v>11354787</v>
      </c>
      <c r="D139" s="71" t="s">
        <v>258</v>
      </c>
      <c r="E139" s="71" t="s">
        <v>225</v>
      </c>
    </row>
    <row r="140" spans="1:5">
      <c r="A140" s="73">
        <v>139</v>
      </c>
      <c r="B140" s="74" t="s">
        <v>116</v>
      </c>
      <c r="C140" s="74">
        <v>11353726</v>
      </c>
      <c r="D140" s="71" t="s">
        <v>259</v>
      </c>
      <c r="E140" s="71" t="s">
        <v>225</v>
      </c>
    </row>
    <row r="141" spans="1:5">
      <c r="A141" s="73">
        <v>140</v>
      </c>
      <c r="B141" s="74" t="s">
        <v>116</v>
      </c>
      <c r="C141" s="74">
        <v>11354376</v>
      </c>
      <c r="D141" s="71" t="s">
        <v>260</v>
      </c>
      <c r="E141" s="71" t="s">
        <v>225</v>
      </c>
    </row>
    <row r="142" spans="1:5">
      <c r="A142" s="73">
        <v>141</v>
      </c>
      <c r="B142" s="74" t="s">
        <v>116</v>
      </c>
      <c r="C142" s="74">
        <v>11351076</v>
      </c>
      <c r="D142" s="71" t="s">
        <v>261</v>
      </c>
      <c r="E142" s="71" t="s">
        <v>225</v>
      </c>
    </row>
    <row r="143" spans="1:5">
      <c r="A143" s="73">
        <v>142</v>
      </c>
      <c r="B143" s="74" t="s">
        <v>116</v>
      </c>
      <c r="C143" s="74">
        <v>11334612</v>
      </c>
      <c r="D143" s="71" t="s">
        <v>262</v>
      </c>
      <c r="E143" s="71" t="s">
        <v>225</v>
      </c>
    </row>
    <row r="144" spans="1:5">
      <c r="A144" s="73">
        <v>143</v>
      </c>
      <c r="B144" s="74" t="s">
        <v>116</v>
      </c>
      <c r="C144" s="74">
        <v>11322022</v>
      </c>
      <c r="D144" s="71" t="s">
        <v>263</v>
      </c>
      <c r="E144" s="71" t="s">
        <v>225</v>
      </c>
    </row>
    <row r="145" spans="1:5">
      <c r="A145" s="73">
        <v>144</v>
      </c>
      <c r="B145" s="74" t="s">
        <v>116</v>
      </c>
      <c r="C145" s="74">
        <v>11352484</v>
      </c>
      <c r="D145" s="71" t="s">
        <v>144</v>
      </c>
      <c r="E145" s="71" t="s">
        <v>225</v>
      </c>
    </row>
    <row r="146" spans="1:5">
      <c r="A146" s="73">
        <v>145</v>
      </c>
      <c r="B146" s="74" t="s">
        <v>116</v>
      </c>
      <c r="C146" s="74">
        <v>11354332</v>
      </c>
      <c r="D146" s="71" t="s">
        <v>264</v>
      </c>
      <c r="E146" s="71" t="s">
        <v>225</v>
      </c>
    </row>
    <row r="147" spans="1:5">
      <c r="A147" s="73">
        <v>146</v>
      </c>
      <c r="B147" s="74" t="s">
        <v>116</v>
      </c>
      <c r="C147" s="74">
        <v>11354682</v>
      </c>
      <c r="D147" s="71" t="s">
        <v>265</v>
      </c>
      <c r="E147" s="71" t="s">
        <v>225</v>
      </c>
    </row>
    <row r="148" spans="1:5">
      <c r="A148" s="73">
        <v>147</v>
      </c>
      <c r="B148" s="74" t="s">
        <v>116</v>
      </c>
      <c r="C148" s="74">
        <v>11339006</v>
      </c>
      <c r="D148" s="71" t="s">
        <v>266</v>
      </c>
      <c r="E148" s="71" t="s">
        <v>225</v>
      </c>
    </row>
    <row r="149" spans="1:5">
      <c r="A149" s="73">
        <v>148</v>
      </c>
      <c r="B149" s="74" t="s">
        <v>116</v>
      </c>
      <c r="C149" s="74">
        <v>11334435</v>
      </c>
      <c r="D149" s="71" t="s">
        <v>267</v>
      </c>
      <c r="E149" s="71" t="s">
        <v>225</v>
      </c>
    </row>
    <row r="150" spans="1:5">
      <c r="A150" s="73">
        <v>149</v>
      </c>
      <c r="B150" s="74" t="s">
        <v>116</v>
      </c>
      <c r="C150" s="74">
        <v>11333696</v>
      </c>
      <c r="D150" s="71" t="s">
        <v>268</v>
      </c>
      <c r="E150" s="71" t="s">
        <v>225</v>
      </c>
    </row>
    <row r="151" spans="1:5">
      <c r="A151" s="73">
        <v>150</v>
      </c>
      <c r="B151" s="74" t="s">
        <v>116</v>
      </c>
      <c r="C151" s="74">
        <v>11336934</v>
      </c>
      <c r="D151" s="71" t="s">
        <v>269</v>
      </c>
      <c r="E151" s="71" t="s">
        <v>225</v>
      </c>
    </row>
    <row r="152" spans="1:5">
      <c r="A152" s="73">
        <v>151</v>
      </c>
      <c r="B152" s="74" t="s">
        <v>116</v>
      </c>
      <c r="C152" s="74">
        <v>11354197</v>
      </c>
      <c r="D152" s="71" t="s">
        <v>270</v>
      </c>
      <c r="E152" s="71" t="s">
        <v>225</v>
      </c>
    </row>
    <row r="153" spans="1:5">
      <c r="A153" s="73">
        <v>152</v>
      </c>
      <c r="B153" s="74" t="s">
        <v>116</v>
      </c>
      <c r="C153" s="74">
        <v>11352238</v>
      </c>
      <c r="D153" s="71" t="s">
        <v>271</v>
      </c>
      <c r="E153" s="71" t="s">
        <v>225</v>
      </c>
    </row>
    <row r="154" spans="1:5">
      <c r="A154" s="73">
        <v>153</v>
      </c>
      <c r="B154" s="74" t="s">
        <v>116</v>
      </c>
      <c r="C154" s="74">
        <v>11351001</v>
      </c>
      <c r="D154" s="71" t="s">
        <v>272</v>
      </c>
      <c r="E154" s="71" t="s">
        <v>225</v>
      </c>
    </row>
    <row r="155" spans="1:5">
      <c r="A155" s="73">
        <v>154</v>
      </c>
      <c r="B155" s="74" t="s">
        <v>116</v>
      </c>
      <c r="C155" s="74">
        <v>11334913</v>
      </c>
      <c r="D155" s="71" t="s">
        <v>273</v>
      </c>
      <c r="E155" s="71" t="s">
        <v>225</v>
      </c>
    </row>
    <row r="156" spans="1:5">
      <c r="A156" s="73">
        <v>155</v>
      </c>
      <c r="B156" s="74" t="s">
        <v>116</v>
      </c>
      <c r="C156" s="74">
        <v>11354727</v>
      </c>
      <c r="D156" s="71" t="s">
        <v>274</v>
      </c>
      <c r="E156" s="71" t="s">
        <v>225</v>
      </c>
    </row>
    <row r="157" spans="1:5">
      <c r="A157" s="73">
        <v>156</v>
      </c>
      <c r="B157" s="74" t="s">
        <v>116</v>
      </c>
      <c r="C157" s="74">
        <v>11351305</v>
      </c>
      <c r="D157" s="71" t="s">
        <v>275</v>
      </c>
      <c r="E157" s="71" t="s">
        <v>225</v>
      </c>
    </row>
    <row r="158" spans="1:5">
      <c r="A158" s="73">
        <v>157</v>
      </c>
      <c r="B158" s="74" t="s">
        <v>116</v>
      </c>
      <c r="C158" s="74">
        <v>11351690</v>
      </c>
      <c r="D158" s="71" t="s">
        <v>276</v>
      </c>
      <c r="E158" s="71" t="s">
        <v>225</v>
      </c>
    </row>
    <row r="159" spans="1:5">
      <c r="A159" s="73">
        <v>158</v>
      </c>
      <c r="B159" s="74" t="s">
        <v>116</v>
      </c>
      <c r="C159" s="74">
        <v>11353598</v>
      </c>
      <c r="D159" s="71" t="s">
        <v>277</v>
      </c>
      <c r="E159" s="71" t="s">
        <v>225</v>
      </c>
    </row>
    <row r="160" spans="1:5">
      <c r="A160" s="73">
        <v>159</v>
      </c>
      <c r="B160" s="74" t="s">
        <v>116</v>
      </c>
      <c r="C160" s="74">
        <v>11353204</v>
      </c>
      <c r="D160" s="71" t="s">
        <v>278</v>
      </c>
      <c r="E160" s="71" t="s">
        <v>225</v>
      </c>
    </row>
    <row r="161" spans="1:5">
      <c r="A161" s="73">
        <v>160</v>
      </c>
      <c r="B161" s="74" t="s">
        <v>116</v>
      </c>
      <c r="C161" s="74">
        <v>11354614</v>
      </c>
      <c r="D161" s="71" t="s">
        <v>279</v>
      </c>
      <c r="E161" s="71" t="s">
        <v>225</v>
      </c>
    </row>
    <row r="162" spans="1:5">
      <c r="A162" s="73">
        <v>161</v>
      </c>
      <c r="B162" s="74" t="s">
        <v>116</v>
      </c>
      <c r="C162" s="74">
        <v>11322784</v>
      </c>
      <c r="D162" s="71" t="s">
        <v>280</v>
      </c>
      <c r="E162" s="71" t="s">
        <v>225</v>
      </c>
    </row>
    <row r="163" spans="1:5">
      <c r="A163" s="73">
        <v>162</v>
      </c>
      <c r="B163" s="74" t="s">
        <v>116</v>
      </c>
      <c r="C163" s="74">
        <v>11333943</v>
      </c>
      <c r="D163" s="71" t="s">
        <v>281</v>
      </c>
      <c r="E163" s="71" t="s">
        <v>225</v>
      </c>
    </row>
    <row r="164" spans="1:5">
      <c r="A164" s="73">
        <v>163</v>
      </c>
      <c r="B164" s="74" t="s">
        <v>116</v>
      </c>
      <c r="C164" s="74">
        <v>11352078</v>
      </c>
      <c r="D164" s="71" t="s">
        <v>282</v>
      </c>
      <c r="E164" s="71" t="s">
        <v>225</v>
      </c>
    </row>
    <row r="165" spans="1:5">
      <c r="A165" s="73">
        <v>164</v>
      </c>
      <c r="B165" s="74" t="s">
        <v>116</v>
      </c>
      <c r="C165" s="74">
        <v>11354912</v>
      </c>
      <c r="D165" s="71" t="s">
        <v>283</v>
      </c>
      <c r="E165" s="71" t="s">
        <v>225</v>
      </c>
    </row>
    <row r="166" spans="1:5">
      <c r="A166" s="73">
        <v>165</v>
      </c>
      <c r="B166" s="74" t="s">
        <v>116</v>
      </c>
      <c r="C166" s="74">
        <v>11353571</v>
      </c>
      <c r="D166" s="71" t="s">
        <v>284</v>
      </c>
      <c r="E166" s="71" t="s">
        <v>225</v>
      </c>
    </row>
    <row r="167" spans="1:5">
      <c r="A167" s="73">
        <v>166</v>
      </c>
      <c r="B167" s="74" t="s">
        <v>116</v>
      </c>
      <c r="C167" s="74">
        <v>11354858</v>
      </c>
      <c r="D167" s="71" t="s">
        <v>285</v>
      </c>
      <c r="E167" s="71" t="s">
        <v>225</v>
      </c>
    </row>
    <row r="168" spans="1:5">
      <c r="A168" s="73">
        <v>167</v>
      </c>
      <c r="B168" s="74" t="s">
        <v>116</v>
      </c>
      <c r="C168" s="74">
        <v>11354269</v>
      </c>
      <c r="D168" s="71" t="s">
        <v>286</v>
      </c>
      <c r="E168" s="71" t="s">
        <v>225</v>
      </c>
    </row>
    <row r="169" spans="1:5">
      <c r="A169" s="73">
        <v>168</v>
      </c>
      <c r="B169" s="74" t="s">
        <v>116</v>
      </c>
      <c r="C169" s="74">
        <v>11350134</v>
      </c>
      <c r="D169" s="71" t="s">
        <v>287</v>
      </c>
      <c r="E169" s="71" t="s">
        <v>225</v>
      </c>
    </row>
    <row r="170" spans="1:5">
      <c r="A170" s="73">
        <v>169</v>
      </c>
      <c r="B170" s="74" t="s">
        <v>116</v>
      </c>
      <c r="C170" s="74">
        <v>11332304</v>
      </c>
      <c r="D170" s="71" t="s">
        <v>288</v>
      </c>
      <c r="E170" s="71" t="s">
        <v>225</v>
      </c>
    </row>
    <row r="171" spans="1:5">
      <c r="A171" s="73">
        <v>170</v>
      </c>
      <c r="B171" s="74" t="s">
        <v>116</v>
      </c>
      <c r="C171" s="74">
        <v>11321373</v>
      </c>
      <c r="D171" s="71" t="s">
        <v>289</v>
      </c>
      <c r="E171" s="71" t="s">
        <v>290</v>
      </c>
    </row>
    <row r="172" spans="1:5">
      <c r="A172" s="73">
        <v>171</v>
      </c>
      <c r="B172" s="74" t="s">
        <v>116</v>
      </c>
      <c r="C172" s="74">
        <v>11354204</v>
      </c>
      <c r="D172" s="71" t="s">
        <v>291</v>
      </c>
      <c r="E172" s="71" t="s">
        <v>290</v>
      </c>
    </row>
    <row r="173" spans="1:5">
      <c r="A173" s="73">
        <v>172</v>
      </c>
      <c r="B173" s="74" t="s">
        <v>116</v>
      </c>
      <c r="C173" s="74">
        <v>11332197</v>
      </c>
      <c r="D173" s="71" t="s">
        <v>292</v>
      </c>
      <c r="E173" s="71" t="s">
        <v>290</v>
      </c>
    </row>
    <row r="174" spans="1:5">
      <c r="A174" s="73">
        <v>173</v>
      </c>
      <c r="B174" s="74" t="s">
        <v>116</v>
      </c>
      <c r="C174" s="74">
        <v>11351878</v>
      </c>
      <c r="D174" s="71" t="s">
        <v>293</v>
      </c>
      <c r="E174" s="71" t="s">
        <v>290</v>
      </c>
    </row>
    <row r="175" spans="1:5">
      <c r="A175" s="73">
        <v>174</v>
      </c>
      <c r="B175" s="74" t="s">
        <v>116</v>
      </c>
      <c r="C175" s="74">
        <v>11354090</v>
      </c>
      <c r="D175" s="71" t="s">
        <v>294</v>
      </c>
      <c r="E175" s="71" t="s">
        <v>290</v>
      </c>
    </row>
    <row r="176" spans="1:5">
      <c r="A176" s="73">
        <v>175</v>
      </c>
      <c r="B176" s="74" t="s">
        <v>116</v>
      </c>
      <c r="C176" s="74">
        <v>11353380</v>
      </c>
      <c r="D176" s="71" t="s">
        <v>295</v>
      </c>
      <c r="E176" s="71" t="s">
        <v>290</v>
      </c>
    </row>
    <row r="177" spans="1:5">
      <c r="A177" s="73">
        <v>176</v>
      </c>
      <c r="B177" s="74" t="s">
        <v>116</v>
      </c>
      <c r="C177" s="74">
        <v>11306391</v>
      </c>
      <c r="D177" s="71" t="s">
        <v>296</v>
      </c>
      <c r="E177" s="71" t="s">
        <v>290</v>
      </c>
    </row>
    <row r="178" spans="1:5">
      <c r="A178" s="73">
        <v>177</v>
      </c>
      <c r="B178" s="74" t="s">
        <v>116</v>
      </c>
      <c r="C178" s="74">
        <v>11351702</v>
      </c>
      <c r="D178" s="71" t="s">
        <v>297</v>
      </c>
      <c r="E178" s="71" t="s">
        <v>290</v>
      </c>
    </row>
    <row r="179" spans="1:5">
      <c r="A179" s="73">
        <v>178</v>
      </c>
      <c r="B179" s="74" t="s">
        <v>116</v>
      </c>
      <c r="C179" s="74">
        <v>11353837</v>
      </c>
      <c r="D179" s="71" t="s">
        <v>298</v>
      </c>
      <c r="E179" s="71" t="s">
        <v>290</v>
      </c>
    </row>
    <row r="180" spans="1:5">
      <c r="A180" s="73">
        <v>179</v>
      </c>
      <c r="B180" s="74" t="s">
        <v>116</v>
      </c>
      <c r="C180" s="74">
        <v>11339103</v>
      </c>
      <c r="D180" s="71" t="s">
        <v>299</v>
      </c>
      <c r="E180" s="71" t="s">
        <v>290</v>
      </c>
    </row>
    <row r="181" spans="1:5">
      <c r="A181" s="73">
        <v>180</v>
      </c>
      <c r="B181" s="74" t="s">
        <v>116</v>
      </c>
      <c r="C181" s="74">
        <v>11338628</v>
      </c>
      <c r="D181" s="71" t="s">
        <v>300</v>
      </c>
      <c r="E181" s="71" t="s">
        <v>290</v>
      </c>
    </row>
    <row r="182" spans="1:5">
      <c r="A182" s="73">
        <v>181</v>
      </c>
      <c r="B182" s="74" t="s">
        <v>116</v>
      </c>
      <c r="C182" s="74">
        <v>11337271</v>
      </c>
      <c r="D182" s="71" t="s">
        <v>301</v>
      </c>
      <c r="E182" s="71" t="s">
        <v>290</v>
      </c>
    </row>
    <row r="183" spans="1:5">
      <c r="A183" s="73">
        <v>182</v>
      </c>
      <c r="B183" s="74" t="s">
        <v>116</v>
      </c>
      <c r="C183" s="74">
        <v>11350409</v>
      </c>
      <c r="D183" s="71" t="s">
        <v>302</v>
      </c>
      <c r="E183" s="71" t="s">
        <v>290</v>
      </c>
    </row>
    <row r="184" spans="1:5">
      <c r="A184" s="73">
        <v>183</v>
      </c>
      <c r="B184" s="74" t="s">
        <v>116</v>
      </c>
      <c r="C184" s="74">
        <v>11353080</v>
      </c>
      <c r="D184" s="71" t="s">
        <v>303</v>
      </c>
      <c r="E184" s="71" t="s">
        <v>290</v>
      </c>
    </row>
    <row r="185" spans="1:5">
      <c r="A185" s="73">
        <v>184</v>
      </c>
      <c r="B185" s="74" t="s">
        <v>116</v>
      </c>
      <c r="C185" s="74">
        <v>11332628</v>
      </c>
      <c r="D185" s="71" t="s">
        <v>304</v>
      </c>
      <c r="E185" s="71" t="s">
        <v>290</v>
      </c>
    </row>
    <row r="186" spans="1:5">
      <c r="A186" s="73">
        <v>185</v>
      </c>
      <c r="B186" s="74" t="s">
        <v>116</v>
      </c>
      <c r="C186" s="74">
        <v>11335941</v>
      </c>
      <c r="D186" s="71" t="s">
        <v>305</v>
      </c>
      <c r="E186" s="71" t="s">
        <v>290</v>
      </c>
    </row>
    <row r="187" spans="1:5">
      <c r="A187" s="73">
        <v>186</v>
      </c>
      <c r="B187" s="74" t="s">
        <v>116</v>
      </c>
      <c r="C187" s="74">
        <v>11350415</v>
      </c>
      <c r="D187" s="71" t="s">
        <v>306</v>
      </c>
      <c r="E187" s="71" t="s">
        <v>290</v>
      </c>
    </row>
    <row r="188" spans="1:5">
      <c r="A188" s="73">
        <v>187</v>
      </c>
      <c r="B188" s="74" t="s">
        <v>116</v>
      </c>
      <c r="C188" s="74">
        <v>11351695</v>
      </c>
      <c r="D188" s="71" t="s">
        <v>307</v>
      </c>
      <c r="E188" s="71" t="s">
        <v>290</v>
      </c>
    </row>
    <row r="189" spans="1:5">
      <c r="A189" s="73">
        <v>188</v>
      </c>
      <c r="B189" s="74" t="s">
        <v>116</v>
      </c>
      <c r="C189" s="74">
        <v>11352805</v>
      </c>
      <c r="D189" s="71" t="s">
        <v>308</v>
      </c>
      <c r="E189" s="71" t="s">
        <v>290</v>
      </c>
    </row>
    <row r="190" spans="1:5">
      <c r="A190" s="73">
        <v>189</v>
      </c>
      <c r="B190" s="74" t="s">
        <v>116</v>
      </c>
      <c r="C190" s="74">
        <v>11336693</v>
      </c>
      <c r="D190" s="71" t="s">
        <v>309</v>
      </c>
      <c r="E190" s="71" t="s">
        <v>290</v>
      </c>
    </row>
    <row r="191" spans="1:5">
      <c r="A191" s="73">
        <v>190</v>
      </c>
      <c r="B191" s="74" t="s">
        <v>116</v>
      </c>
      <c r="C191" s="74">
        <v>11351746</v>
      </c>
      <c r="D191" s="71" t="s">
        <v>310</v>
      </c>
      <c r="E191" s="71" t="s">
        <v>290</v>
      </c>
    </row>
    <row r="192" spans="1:5">
      <c r="A192" s="73">
        <v>191</v>
      </c>
      <c r="B192" s="74" t="s">
        <v>116</v>
      </c>
      <c r="C192" s="74">
        <v>11354557</v>
      </c>
      <c r="D192" s="71" t="s">
        <v>311</v>
      </c>
      <c r="E192" s="71" t="s">
        <v>290</v>
      </c>
    </row>
    <row r="193" spans="1:5">
      <c r="A193" s="73">
        <v>192</v>
      </c>
      <c r="B193" s="74" t="s">
        <v>116</v>
      </c>
      <c r="C193" s="74">
        <v>11353842</v>
      </c>
      <c r="D193" s="71" t="s">
        <v>312</v>
      </c>
      <c r="E193" s="71" t="s">
        <v>290</v>
      </c>
    </row>
    <row r="194" spans="1:5">
      <c r="A194" s="73">
        <v>193</v>
      </c>
      <c r="B194" s="74" t="s">
        <v>116</v>
      </c>
      <c r="C194" s="74">
        <v>11334433</v>
      </c>
      <c r="D194" s="71" t="s">
        <v>313</v>
      </c>
      <c r="E194" s="71" t="s">
        <v>290</v>
      </c>
    </row>
    <row r="195" spans="1:5">
      <c r="A195" s="73">
        <v>194</v>
      </c>
      <c r="B195" s="74" t="s">
        <v>116</v>
      </c>
      <c r="C195" s="74">
        <v>11352109</v>
      </c>
      <c r="D195" s="71" t="s">
        <v>314</v>
      </c>
      <c r="E195" s="71" t="s">
        <v>290</v>
      </c>
    </row>
    <row r="196" spans="1:5">
      <c r="A196" s="73">
        <v>195</v>
      </c>
      <c r="B196" s="74" t="s">
        <v>116</v>
      </c>
      <c r="C196" s="74">
        <v>11285219</v>
      </c>
      <c r="D196" s="71" t="s">
        <v>315</v>
      </c>
      <c r="E196" s="71" t="s">
        <v>290</v>
      </c>
    </row>
    <row r="197" spans="1:5">
      <c r="A197" s="73">
        <v>196</v>
      </c>
      <c r="B197" s="74" t="s">
        <v>116</v>
      </c>
      <c r="C197" s="74">
        <v>11354824</v>
      </c>
      <c r="D197" s="71" t="s">
        <v>316</v>
      </c>
      <c r="E197" s="71" t="s">
        <v>290</v>
      </c>
    </row>
    <row r="198" spans="1:5">
      <c r="A198" s="73">
        <v>197</v>
      </c>
      <c r="B198" s="74" t="s">
        <v>116</v>
      </c>
      <c r="C198" s="74">
        <v>11353595</v>
      </c>
      <c r="D198" s="71" t="s">
        <v>317</v>
      </c>
      <c r="E198" s="71" t="s">
        <v>290</v>
      </c>
    </row>
    <row r="199" spans="1:5">
      <c r="A199" s="73">
        <v>198</v>
      </c>
      <c r="B199" s="74" t="s">
        <v>116</v>
      </c>
      <c r="C199" s="74">
        <v>11347786</v>
      </c>
      <c r="D199" s="71" t="s">
        <v>318</v>
      </c>
      <c r="E199" s="71" t="s">
        <v>290</v>
      </c>
    </row>
    <row r="200" spans="1:5">
      <c r="A200" s="73">
        <v>199</v>
      </c>
      <c r="B200" s="74" t="s">
        <v>116</v>
      </c>
      <c r="C200" s="74">
        <v>11353803</v>
      </c>
      <c r="D200" s="71" t="s">
        <v>319</v>
      </c>
      <c r="E200" s="71" t="s">
        <v>290</v>
      </c>
    </row>
    <row r="201" spans="1:5">
      <c r="A201" s="73">
        <v>200</v>
      </c>
      <c r="B201" s="74" t="s">
        <v>116</v>
      </c>
      <c r="C201" s="74">
        <v>11332827</v>
      </c>
      <c r="D201" s="71" t="s">
        <v>320</v>
      </c>
      <c r="E201" s="71" t="s">
        <v>290</v>
      </c>
    </row>
    <row r="202" spans="1:5">
      <c r="A202" s="73">
        <v>201</v>
      </c>
      <c r="B202" s="74" t="s">
        <v>116</v>
      </c>
      <c r="C202" s="74">
        <v>11349817</v>
      </c>
      <c r="D202" s="71" t="s">
        <v>321</v>
      </c>
      <c r="E202" s="71" t="s">
        <v>290</v>
      </c>
    </row>
    <row r="203" spans="1:5">
      <c r="A203" s="73">
        <v>202</v>
      </c>
      <c r="B203" s="74" t="s">
        <v>116</v>
      </c>
      <c r="C203" s="74">
        <v>11334213</v>
      </c>
      <c r="D203" s="71" t="s">
        <v>322</v>
      </c>
      <c r="E203" s="71" t="s">
        <v>290</v>
      </c>
    </row>
    <row r="204" spans="1:5">
      <c r="A204" s="73">
        <v>203</v>
      </c>
      <c r="B204" s="74" t="s">
        <v>116</v>
      </c>
      <c r="C204" s="74">
        <v>11354342</v>
      </c>
      <c r="D204" s="71" t="s">
        <v>323</v>
      </c>
      <c r="E204" s="71" t="s">
        <v>290</v>
      </c>
    </row>
    <row r="205" spans="1:5">
      <c r="A205" s="73">
        <v>204</v>
      </c>
      <c r="B205" s="74" t="s">
        <v>116</v>
      </c>
      <c r="C205" s="74">
        <v>11321718</v>
      </c>
      <c r="D205" s="71" t="s">
        <v>324</v>
      </c>
      <c r="E205" s="71" t="s">
        <v>290</v>
      </c>
    </row>
    <row r="206" spans="1:5">
      <c r="A206" s="73">
        <v>205</v>
      </c>
      <c r="B206" s="74" t="s">
        <v>116</v>
      </c>
      <c r="C206" s="74">
        <v>11351014</v>
      </c>
      <c r="D206" s="71" t="s">
        <v>325</v>
      </c>
      <c r="E206" s="71" t="s">
        <v>290</v>
      </c>
    </row>
    <row r="207" spans="1:5">
      <c r="A207" s="73">
        <v>206</v>
      </c>
      <c r="B207" s="74" t="s">
        <v>116</v>
      </c>
      <c r="C207" s="74">
        <v>11351387</v>
      </c>
      <c r="D207" s="71" t="s">
        <v>326</v>
      </c>
      <c r="E207" s="71" t="s">
        <v>290</v>
      </c>
    </row>
    <row r="208" spans="1:5">
      <c r="A208" s="73">
        <v>207</v>
      </c>
      <c r="B208" s="74" t="s">
        <v>116</v>
      </c>
      <c r="C208" s="74">
        <v>11334087</v>
      </c>
      <c r="D208" s="71" t="s">
        <v>327</v>
      </c>
      <c r="E208" s="71" t="s">
        <v>290</v>
      </c>
    </row>
    <row r="209" spans="1:5">
      <c r="A209" s="73">
        <v>208</v>
      </c>
      <c r="B209" s="74" t="s">
        <v>116</v>
      </c>
      <c r="C209" s="74">
        <v>11352116</v>
      </c>
      <c r="D209" s="71" t="s">
        <v>328</v>
      </c>
      <c r="E209" s="71" t="s">
        <v>290</v>
      </c>
    </row>
    <row r="210" spans="1:5">
      <c r="A210" s="73">
        <v>209</v>
      </c>
      <c r="B210" s="74" t="s">
        <v>116</v>
      </c>
      <c r="C210" s="74">
        <v>11353871</v>
      </c>
      <c r="D210" s="71" t="s">
        <v>329</v>
      </c>
      <c r="E210" s="71" t="s">
        <v>290</v>
      </c>
    </row>
    <row r="211" spans="1:5">
      <c r="A211" s="73">
        <v>210</v>
      </c>
      <c r="B211" s="74" t="s">
        <v>116</v>
      </c>
      <c r="C211" s="74">
        <v>11353774</v>
      </c>
      <c r="D211" s="71" t="s">
        <v>330</v>
      </c>
      <c r="E211" s="71" t="s">
        <v>290</v>
      </c>
    </row>
    <row r="212" spans="1:5">
      <c r="A212" s="73">
        <v>211</v>
      </c>
      <c r="B212" s="74" t="s">
        <v>116</v>
      </c>
      <c r="C212" s="74">
        <v>11353863</v>
      </c>
      <c r="D212" s="71" t="s">
        <v>331</v>
      </c>
      <c r="E212" s="71" t="s">
        <v>290</v>
      </c>
    </row>
    <row r="213" spans="1:5">
      <c r="A213" s="73">
        <v>212</v>
      </c>
      <c r="B213" s="74" t="s">
        <v>116</v>
      </c>
      <c r="C213" s="74">
        <v>11305534</v>
      </c>
      <c r="D213" s="71" t="s">
        <v>332</v>
      </c>
      <c r="E213" s="71" t="s">
        <v>290</v>
      </c>
    </row>
    <row r="214" spans="1:5">
      <c r="A214" s="73">
        <v>213</v>
      </c>
      <c r="B214" s="74" t="s">
        <v>116</v>
      </c>
      <c r="C214" s="74">
        <v>11318353</v>
      </c>
      <c r="D214" s="71" t="s">
        <v>333</v>
      </c>
      <c r="E214" s="71" t="s">
        <v>290</v>
      </c>
    </row>
    <row r="215" spans="1:5">
      <c r="A215" s="73">
        <v>214</v>
      </c>
      <c r="B215" s="74" t="s">
        <v>116</v>
      </c>
      <c r="C215" s="74">
        <v>11335791</v>
      </c>
      <c r="D215" s="71" t="s">
        <v>334</v>
      </c>
      <c r="E215" s="71" t="s">
        <v>290</v>
      </c>
    </row>
    <row r="216" spans="1:5">
      <c r="A216" s="73">
        <v>215</v>
      </c>
      <c r="B216" s="74" t="s">
        <v>116</v>
      </c>
      <c r="C216" s="74">
        <v>11332441</v>
      </c>
      <c r="D216" s="71" t="s">
        <v>335</v>
      </c>
      <c r="E216" s="71" t="s">
        <v>290</v>
      </c>
    </row>
    <row r="217" spans="1:5">
      <c r="A217" s="73">
        <v>216</v>
      </c>
      <c r="B217" s="74" t="s">
        <v>116</v>
      </c>
      <c r="C217" s="74">
        <v>11335081</v>
      </c>
      <c r="D217" s="71" t="s">
        <v>336</v>
      </c>
      <c r="E217" s="71" t="s">
        <v>290</v>
      </c>
    </row>
    <row r="218" spans="1:5">
      <c r="A218" s="73">
        <v>217</v>
      </c>
      <c r="B218" s="74" t="s">
        <v>116</v>
      </c>
      <c r="C218" s="74">
        <v>11354741</v>
      </c>
      <c r="D218" s="71" t="s">
        <v>337</v>
      </c>
      <c r="E218" s="71" t="s">
        <v>290</v>
      </c>
    </row>
    <row r="219" spans="1:5">
      <c r="A219" s="73">
        <v>218</v>
      </c>
      <c r="B219" s="74" t="s">
        <v>116</v>
      </c>
      <c r="C219" s="74">
        <v>11354280</v>
      </c>
      <c r="D219" s="71" t="s">
        <v>338</v>
      </c>
      <c r="E219" s="71" t="s">
        <v>290</v>
      </c>
    </row>
    <row r="220" spans="1:5">
      <c r="A220" s="73">
        <v>219</v>
      </c>
      <c r="B220" s="74" t="s">
        <v>116</v>
      </c>
      <c r="C220" s="74">
        <v>11354481</v>
      </c>
      <c r="D220" s="71" t="s">
        <v>339</v>
      </c>
      <c r="E220" s="71" t="s">
        <v>290</v>
      </c>
    </row>
    <row r="221" spans="1:5">
      <c r="A221" s="73">
        <v>220</v>
      </c>
      <c r="B221" s="74" t="s">
        <v>116</v>
      </c>
      <c r="C221" s="74">
        <v>11336387</v>
      </c>
      <c r="D221" s="71" t="s">
        <v>340</v>
      </c>
      <c r="E221" s="71" t="s">
        <v>290</v>
      </c>
    </row>
    <row r="222" spans="1:5">
      <c r="A222" s="73">
        <v>221</v>
      </c>
      <c r="B222" s="74" t="s">
        <v>116</v>
      </c>
      <c r="C222" s="74">
        <v>11334740</v>
      </c>
      <c r="D222" s="71" t="s">
        <v>341</v>
      </c>
      <c r="E222" s="71" t="s">
        <v>290</v>
      </c>
    </row>
    <row r="223" spans="1:5">
      <c r="A223" s="73">
        <v>222</v>
      </c>
      <c r="B223" s="74" t="s">
        <v>116</v>
      </c>
      <c r="C223" s="74">
        <v>11354874</v>
      </c>
      <c r="D223" s="71" t="s">
        <v>342</v>
      </c>
      <c r="E223" s="71" t="s">
        <v>290</v>
      </c>
    </row>
    <row r="224" spans="1:5">
      <c r="A224" s="73">
        <v>223</v>
      </c>
      <c r="B224" s="74" t="s">
        <v>116</v>
      </c>
      <c r="C224" s="74">
        <v>11334182</v>
      </c>
      <c r="D224" s="71" t="s">
        <v>343</v>
      </c>
      <c r="E224" s="71" t="s">
        <v>290</v>
      </c>
    </row>
    <row r="225" spans="1:5">
      <c r="A225" s="73">
        <v>224</v>
      </c>
      <c r="B225" s="74" t="s">
        <v>116</v>
      </c>
      <c r="C225" s="74">
        <v>11354350</v>
      </c>
      <c r="D225" s="71" t="s">
        <v>344</v>
      </c>
      <c r="E225" s="71" t="s">
        <v>290</v>
      </c>
    </row>
    <row r="226" spans="1:5">
      <c r="A226" s="73">
        <v>225</v>
      </c>
      <c r="B226" s="74" t="s">
        <v>116</v>
      </c>
      <c r="C226" s="74">
        <v>11354745</v>
      </c>
      <c r="D226" s="71" t="s">
        <v>345</v>
      </c>
      <c r="E226" s="71" t="s">
        <v>290</v>
      </c>
    </row>
    <row r="227" spans="1:5">
      <c r="A227" s="73">
        <v>226</v>
      </c>
      <c r="B227" s="74" t="s">
        <v>116</v>
      </c>
      <c r="C227" s="74">
        <v>11351417</v>
      </c>
      <c r="D227" s="71" t="s">
        <v>346</v>
      </c>
      <c r="E227" s="71" t="s">
        <v>290</v>
      </c>
    </row>
    <row r="228" spans="1:5">
      <c r="A228" s="73">
        <v>227</v>
      </c>
      <c r="B228" s="74" t="s">
        <v>116</v>
      </c>
      <c r="C228" s="74">
        <v>11354339</v>
      </c>
      <c r="D228" s="71" t="s">
        <v>347</v>
      </c>
      <c r="E228" s="71" t="s">
        <v>290</v>
      </c>
    </row>
    <row r="229" spans="1:5">
      <c r="A229" s="73">
        <v>228</v>
      </c>
      <c r="B229" s="74" t="s">
        <v>116</v>
      </c>
      <c r="C229" s="74">
        <v>11334773</v>
      </c>
      <c r="D229" s="71" t="s">
        <v>348</v>
      </c>
      <c r="E229" s="71" t="s">
        <v>290</v>
      </c>
    </row>
    <row r="230" spans="1:5">
      <c r="A230" s="73">
        <v>229</v>
      </c>
      <c r="B230" s="74" t="s">
        <v>116</v>
      </c>
      <c r="C230" s="74">
        <v>11352343</v>
      </c>
      <c r="D230" s="71" t="s">
        <v>349</v>
      </c>
      <c r="E230" s="71" t="s">
        <v>290</v>
      </c>
    </row>
    <row r="231" spans="1:5">
      <c r="A231" s="73">
        <v>230</v>
      </c>
      <c r="B231" s="74" t="s">
        <v>116</v>
      </c>
      <c r="C231" s="74">
        <v>11354038</v>
      </c>
      <c r="D231" s="71" t="s">
        <v>350</v>
      </c>
      <c r="E231" s="71" t="s">
        <v>290</v>
      </c>
    </row>
    <row r="232" spans="1:5">
      <c r="A232" s="73">
        <v>231</v>
      </c>
      <c r="B232" s="74" t="s">
        <v>116</v>
      </c>
      <c r="C232" s="74">
        <v>11343805</v>
      </c>
      <c r="D232" s="71" t="s">
        <v>351</v>
      </c>
      <c r="E232" s="71" t="s">
        <v>290</v>
      </c>
    </row>
    <row r="233" spans="1:5">
      <c r="A233" s="73">
        <v>232</v>
      </c>
      <c r="B233" s="74" t="s">
        <v>116</v>
      </c>
      <c r="C233" s="74">
        <v>11354015</v>
      </c>
      <c r="D233" s="71" t="s">
        <v>352</v>
      </c>
      <c r="E233" s="71" t="s">
        <v>290</v>
      </c>
    </row>
    <row r="234" spans="1:5">
      <c r="A234" s="73">
        <v>233</v>
      </c>
      <c r="B234" s="74" t="s">
        <v>116</v>
      </c>
      <c r="C234" s="74">
        <v>11351273</v>
      </c>
      <c r="D234" s="71" t="s">
        <v>353</v>
      </c>
      <c r="E234" s="71" t="s">
        <v>290</v>
      </c>
    </row>
    <row r="235" spans="1:5">
      <c r="A235" s="73">
        <v>234</v>
      </c>
      <c r="B235" s="74" t="s">
        <v>116</v>
      </c>
      <c r="C235" s="74">
        <v>11334479</v>
      </c>
      <c r="D235" s="71" t="s">
        <v>354</v>
      </c>
      <c r="E235" s="71" t="s">
        <v>290</v>
      </c>
    </row>
    <row r="236" spans="1:5">
      <c r="A236" s="73">
        <v>235</v>
      </c>
      <c r="B236" s="74" t="s">
        <v>116</v>
      </c>
      <c r="C236" s="74">
        <v>11306325</v>
      </c>
      <c r="D236" s="71" t="s">
        <v>355</v>
      </c>
      <c r="E236" s="71" t="s">
        <v>290</v>
      </c>
    </row>
    <row r="237" spans="1:5">
      <c r="A237" s="73">
        <v>236</v>
      </c>
      <c r="B237" s="74" t="s">
        <v>116</v>
      </c>
      <c r="C237" s="74">
        <v>11316058</v>
      </c>
      <c r="D237" s="71" t="s">
        <v>356</v>
      </c>
      <c r="E237" s="71" t="s">
        <v>290</v>
      </c>
    </row>
    <row r="238" spans="1:5">
      <c r="A238" s="73">
        <v>237</v>
      </c>
      <c r="B238" s="74" t="s">
        <v>116</v>
      </c>
      <c r="C238" s="74">
        <v>11334817</v>
      </c>
      <c r="D238" s="71" t="s">
        <v>357</v>
      </c>
      <c r="E238" s="71" t="s">
        <v>358</v>
      </c>
    </row>
    <row r="239" spans="1:5">
      <c r="A239" s="73">
        <v>238</v>
      </c>
      <c r="B239" s="74" t="s">
        <v>116</v>
      </c>
      <c r="C239" s="74">
        <v>11333545</v>
      </c>
      <c r="D239" s="71" t="s">
        <v>359</v>
      </c>
      <c r="E239" s="71" t="s">
        <v>358</v>
      </c>
    </row>
    <row r="240" spans="1:5">
      <c r="A240" s="73">
        <v>239</v>
      </c>
      <c r="B240" s="74" t="s">
        <v>116</v>
      </c>
      <c r="C240" s="74">
        <v>11354287</v>
      </c>
      <c r="D240" s="71" t="s">
        <v>360</v>
      </c>
      <c r="E240" s="71" t="s">
        <v>358</v>
      </c>
    </row>
    <row r="241" spans="1:5">
      <c r="A241" s="73">
        <v>240</v>
      </c>
      <c r="B241" s="74" t="s">
        <v>116</v>
      </c>
      <c r="C241" s="74">
        <v>11352510</v>
      </c>
      <c r="D241" s="71" t="s">
        <v>361</v>
      </c>
      <c r="E241" s="71" t="s">
        <v>358</v>
      </c>
    </row>
    <row r="242" spans="1:5">
      <c r="A242" s="73">
        <v>241</v>
      </c>
      <c r="B242" s="74" t="s">
        <v>116</v>
      </c>
      <c r="C242" s="74">
        <v>11352407</v>
      </c>
      <c r="D242" s="71" t="s">
        <v>362</v>
      </c>
      <c r="E242" s="71" t="s">
        <v>358</v>
      </c>
    </row>
    <row r="243" spans="1:5">
      <c r="A243" s="73">
        <v>242</v>
      </c>
      <c r="B243" s="74" t="s">
        <v>116</v>
      </c>
      <c r="C243" s="74">
        <v>11351423</v>
      </c>
      <c r="D243" s="71" t="s">
        <v>363</v>
      </c>
      <c r="E243" s="71" t="s">
        <v>358</v>
      </c>
    </row>
    <row r="244" spans="1:5">
      <c r="A244" s="73">
        <v>243</v>
      </c>
      <c r="B244" s="74" t="s">
        <v>116</v>
      </c>
      <c r="C244" s="74">
        <v>11352808</v>
      </c>
      <c r="D244" s="71" t="s">
        <v>364</v>
      </c>
      <c r="E244" s="71" t="s">
        <v>358</v>
      </c>
    </row>
    <row r="245" spans="1:5">
      <c r="A245" s="73">
        <v>244</v>
      </c>
      <c r="B245" s="74" t="s">
        <v>116</v>
      </c>
      <c r="C245" s="74">
        <v>11353969</v>
      </c>
      <c r="D245" s="71" t="s">
        <v>365</v>
      </c>
      <c r="E245" s="71" t="s">
        <v>358</v>
      </c>
    </row>
    <row r="246" spans="1:5">
      <c r="A246" s="73">
        <v>245</v>
      </c>
      <c r="B246" s="74" t="s">
        <v>116</v>
      </c>
      <c r="C246" s="74">
        <v>11351666</v>
      </c>
      <c r="D246" s="71" t="s">
        <v>366</v>
      </c>
      <c r="E246" s="71" t="s">
        <v>358</v>
      </c>
    </row>
    <row r="247" spans="1:5">
      <c r="A247" s="73">
        <v>246</v>
      </c>
      <c r="B247" s="74" t="s">
        <v>116</v>
      </c>
      <c r="C247" s="74">
        <v>11333940</v>
      </c>
      <c r="D247" s="71" t="s">
        <v>367</v>
      </c>
      <c r="E247" s="71" t="s">
        <v>358</v>
      </c>
    </row>
    <row r="248" spans="1:5">
      <c r="A248" s="73">
        <v>247</v>
      </c>
      <c r="B248" s="74" t="s">
        <v>116</v>
      </c>
      <c r="C248" s="74">
        <v>11350416</v>
      </c>
      <c r="D248" s="71" t="s">
        <v>368</v>
      </c>
      <c r="E248" s="71" t="s">
        <v>358</v>
      </c>
    </row>
    <row r="249" spans="1:5">
      <c r="A249" s="73">
        <v>248</v>
      </c>
      <c r="B249" s="74" t="s">
        <v>116</v>
      </c>
      <c r="C249" s="74">
        <v>11338924</v>
      </c>
      <c r="D249" s="71" t="s">
        <v>369</v>
      </c>
      <c r="E249" s="71" t="s">
        <v>358</v>
      </c>
    </row>
    <row r="250" spans="1:5">
      <c r="A250" s="73">
        <v>249</v>
      </c>
      <c r="B250" s="74" t="s">
        <v>116</v>
      </c>
      <c r="C250" s="74">
        <v>11353088</v>
      </c>
      <c r="D250" s="71" t="s">
        <v>370</v>
      </c>
      <c r="E250" s="71" t="s">
        <v>358</v>
      </c>
    </row>
    <row r="251" spans="1:5">
      <c r="A251" s="73">
        <v>250</v>
      </c>
      <c r="B251" s="74" t="s">
        <v>116</v>
      </c>
      <c r="C251" s="74">
        <v>11334106</v>
      </c>
      <c r="D251" s="71" t="s">
        <v>371</v>
      </c>
      <c r="E251" s="71" t="s">
        <v>358</v>
      </c>
    </row>
    <row r="252" spans="1:5">
      <c r="A252" s="73">
        <v>251</v>
      </c>
      <c r="B252" s="74" t="s">
        <v>116</v>
      </c>
      <c r="C252" s="74">
        <v>11354326</v>
      </c>
      <c r="D252" s="71" t="s">
        <v>372</v>
      </c>
      <c r="E252" s="71" t="s">
        <v>358</v>
      </c>
    </row>
    <row r="253" spans="1:5">
      <c r="A253" s="73">
        <v>252</v>
      </c>
      <c r="B253" s="74" t="s">
        <v>116</v>
      </c>
      <c r="C253" s="74">
        <v>11354677</v>
      </c>
      <c r="D253" s="71" t="s">
        <v>373</v>
      </c>
      <c r="E253" s="71" t="s">
        <v>358</v>
      </c>
    </row>
    <row r="254" spans="1:5">
      <c r="A254" s="73">
        <v>253</v>
      </c>
      <c r="B254" s="74" t="s">
        <v>116</v>
      </c>
      <c r="C254" s="74">
        <v>11335402</v>
      </c>
      <c r="D254" s="71" t="s">
        <v>374</v>
      </c>
      <c r="E254" s="71" t="s">
        <v>358</v>
      </c>
    </row>
    <row r="255" spans="1:5">
      <c r="A255" s="73">
        <v>254</v>
      </c>
      <c r="B255" s="74" t="s">
        <v>116</v>
      </c>
      <c r="C255" s="74">
        <v>11350905</v>
      </c>
      <c r="D255" s="71" t="s">
        <v>375</v>
      </c>
      <c r="E255" s="71" t="s">
        <v>358</v>
      </c>
    </row>
    <row r="256" spans="1:5">
      <c r="A256" s="73">
        <v>255</v>
      </c>
      <c r="B256" s="74" t="s">
        <v>116</v>
      </c>
      <c r="C256" s="74">
        <v>11337049</v>
      </c>
      <c r="D256" s="71" t="s">
        <v>376</v>
      </c>
      <c r="E256" s="71" t="s">
        <v>358</v>
      </c>
    </row>
    <row r="257" spans="1:5">
      <c r="A257" s="73">
        <v>256</v>
      </c>
      <c r="B257" s="74" t="s">
        <v>116</v>
      </c>
      <c r="C257" s="74">
        <v>11352547</v>
      </c>
      <c r="D257" s="71" t="s">
        <v>377</v>
      </c>
      <c r="E257" s="71" t="s">
        <v>358</v>
      </c>
    </row>
    <row r="258" spans="1:5">
      <c r="A258" s="73">
        <v>257</v>
      </c>
      <c r="B258" s="74" t="s">
        <v>116</v>
      </c>
      <c r="C258" s="74">
        <v>11334272</v>
      </c>
      <c r="D258" s="71" t="s">
        <v>378</v>
      </c>
      <c r="E258" s="71" t="s">
        <v>358</v>
      </c>
    </row>
    <row r="259" spans="1:5">
      <c r="A259" s="73">
        <v>258</v>
      </c>
      <c r="B259" s="74" t="s">
        <v>116</v>
      </c>
      <c r="C259" s="74">
        <v>11352841</v>
      </c>
      <c r="D259" s="71" t="s">
        <v>379</v>
      </c>
      <c r="E259" s="71" t="s">
        <v>358</v>
      </c>
    </row>
    <row r="260" spans="1:5">
      <c r="A260" s="73">
        <v>259</v>
      </c>
      <c r="B260" s="74" t="s">
        <v>116</v>
      </c>
      <c r="C260" s="74">
        <v>11354519</v>
      </c>
      <c r="D260" s="71" t="s">
        <v>380</v>
      </c>
      <c r="E260" s="71" t="s">
        <v>358</v>
      </c>
    </row>
    <row r="261" spans="1:5">
      <c r="A261" s="73">
        <v>260</v>
      </c>
      <c r="B261" s="74" t="s">
        <v>116</v>
      </c>
      <c r="C261" s="74">
        <v>11336411</v>
      </c>
      <c r="D261" s="71" t="s">
        <v>381</v>
      </c>
      <c r="E261" s="71" t="s">
        <v>358</v>
      </c>
    </row>
    <row r="262" spans="1:5">
      <c r="A262" s="73">
        <v>261</v>
      </c>
      <c r="B262" s="74" t="s">
        <v>116</v>
      </c>
      <c r="C262" s="74">
        <v>11353222</v>
      </c>
      <c r="D262" s="71" t="s">
        <v>382</v>
      </c>
      <c r="E262" s="71" t="s">
        <v>358</v>
      </c>
    </row>
    <row r="263" spans="1:5">
      <c r="A263" s="73">
        <v>262</v>
      </c>
      <c r="B263" s="74" t="s">
        <v>116</v>
      </c>
      <c r="C263" s="74">
        <v>11352871</v>
      </c>
      <c r="D263" s="71" t="s">
        <v>383</v>
      </c>
      <c r="E263" s="71" t="s">
        <v>358</v>
      </c>
    </row>
    <row r="264" spans="1:5">
      <c r="A264" s="73">
        <v>263</v>
      </c>
      <c r="B264" s="74" t="s">
        <v>116</v>
      </c>
      <c r="C264" s="74">
        <v>11341923</v>
      </c>
      <c r="D264" s="71" t="s">
        <v>384</v>
      </c>
      <c r="E264" s="71" t="s">
        <v>358</v>
      </c>
    </row>
    <row r="265" spans="1:5">
      <c r="A265" s="73">
        <v>264</v>
      </c>
      <c r="B265" s="74" t="s">
        <v>116</v>
      </c>
      <c r="C265" s="74">
        <v>11352601</v>
      </c>
      <c r="D265" s="71" t="s">
        <v>385</v>
      </c>
      <c r="E265" s="71" t="s">
        <v>358</v>
      </c>
    </row>
    <row r="266" spans="1:5">
      <c r="A266" s="73">
        <v>265</v>
      </c>
      <c r="B266" s="74" t="s">
        <v>116</v>
      </c>
      <c r="C266" s="74">
        <v>11354398</v>
      </c>
      <c r="D266" s="71" t="s">
        <v>386</v>
      </c>
      <c r="E266" s="71" t="s">
        <v>358</v>
      </c>
    </row>
    <row r="267" spans="1:5">
      <c r="A267" s="73">
        <v>266</v>
      </c>
      <c r="B267" s="74" t="s">
        <v>116</v>
      </c>
      <c r="C267" s="74">
        <v>11354416</v>
      </c>
      <c r="D267" s="71" t="s">
        <v>387</v>
      </c>
      <c r="E267" s="71" t="s">
        <v>358</v>
      </c>
    </row>
    <row r="268" spans="1:5">
      <c r="A268" s="73">
        <v>267</v>
      </c>
      <c r="B268" s="74" t="s">
        <v>116</v>
      </c>
      <c r="C268" s="74">
        <v>11352879</v>
      </c>
      <c r="D268" s="71" t="s">
        <v>388</v>
      </c>
      <c r="E268" s="71" t="s">
        <v>358</v>
      </c>
    </row>
    <row r="269" spans="1:5">
      <c r="A269" s="73">
        <v>268</v>
      </c>
      <c r="B269" s="74" t="s">
        <v>116</v>
      </c>
      <c r="C269" s="74">
        <v>11354612</v>
      </c>
      <c r="D269" s="71" t="s">
        <v>389</v>
      </c>
      <c r="E269" s="71" t="s">
        <v>358</v>
      </c>
    </row>
    <row r="270" spans="1:5">
      <c r="A270" s="73">
        <v>269</v>
      </c>
      <c r="B270" s="74" t="s">
        <v>116</v>
      </c>
      <c r="C270" s="74">
        <v>11352598</v>
      </c>
      <c r="D270" s="71" t="s">
        <v>390</v>
      </c>
      <c r="E270" s="71" t="s">
        <v>358</v>
      </c>
    </row>
    <row r="271" spans="1:5">
      <c r="A271" s="73">
        <v>270</v>
      </c>
      <c r="B271" s="74" t="s">
        <v>116</v>
      </c>
      <c r="C271" s="74">
        <v>11351885</v>
      </c>
      <c r="D271" s="71" t="s">
        <v>391</v>
      </c>
      <c r="E271" s="71" t="s">
        <v>358</v>
      </c>
    </row>
    <row r="272" spans="1:5">
      <c r="A272" s="73">
        <v>271</v>
      </c>
      <c r="B272" s="74" t="s">
        <v>116</v>
      </c>
      <c r="C272" s="74">
        <v>11334012</v>
      </c>
      <c r="D272" s="71" t="s">
        <v>392</v>
      </c>
      <c r="E272" s="71" t="s">
        <v>358</v>
      </c>
    </row>
    <row r="273" spans="1:5">
      <c r="A273" s="73">
        <v>272</v>
      </c>
      <c r="B273" s="74" t="s">
        <v>116</v>
      </c>
      <c r="C273" s="74">
        <v>11332908</v>
      </c>
      <c r="D273" s="71" t="s">
        <v>393</v>
      </c>
      <c r="E273" s="71" t="s">
        <v>358</v>
      </c>
    </row>
    <row r="274" spans="1:5">
      <c r="A274" s="73">
        <v>273</v>
      </c>
      <c r="B274" s="74" t="s">
        <v>116</v>
      </c>
      <c r="C274" s="74">
        <v>11353378</v>
      </c>
      <c r="D274" s="71" t="s">
        <v>394</v>
      </c>
      <c r="E274" s="71" t="s">
        <v>358</v>
      </c>
    </row>
    <row r="275" spans="1:5">
      <c r="A275" s="73">
        <v>274</v>
      </c>
      <c r="B275" s="74" t="s">
        <v>116</v>
      </c>
      <c r="C275" s="74">
        <v>11350417</v>
      </c>
      <c r="D275" s="71" t="s">
        <v>395</v>
      </c>
      <c r="E275" s="71" t="s">
        <v>358</v>
      </c>
    </row>
    <row r="276" spans="1:5">
      <c r="A276" s="73">
        <v>275</v>
      </c>
      <c r="B276" s="74" t="s">
        <v>116</v>
      </c>
      <c r="C276" s="77">
        <v>11335274</v>
      </c>
      <c r="D276" s="71" t="s">
        <v>396</v>
      </c>
      <c r="E276" s="71" t="s">
        <v>358</v>
      </c>
    </row>
    <row r="277" spans="1:5">
      <c r="A277" s="73">
        <v>276</v>
      </c>
      <c r="B277" s="74" t="s">
        <v>116</v>
      </c>
      <c r="C277" s="77">
        <v>11354103</v>
      </c>
      <c r="D277" s="71" t="s">
        <v>397</v>
      </c>
      <c r="E277" s="71" t="s">
        <v>358</v>
      </c>
    </row>
    <row r="278" spans="1:5">
      <c r="A278" s="73">
        <v>277</v>
      </c>
      <c r="B278" s="74" t="s">
        <v>116</v>
      </c>
      <c r="C278" s="77">
        <v>11334788</v>
      </c>
      <c r="D278" s="71" t="s">
        <v>398</v>
      </c>
      <c r="E278" s="71" t="s">
        <v>358</v>
      </c>
    </row>
    <row r="279" spans="1:5">
      <c r="A279" s="73">
        <v>278</v>
      </c>
      <c r="B279" s="74" t="s">
        <v>116</v>
      </c>
      <c r="C279" s="77">
        <v>11354128</v>
      </c>
      <c r="D279" s="71" t="s">
        <v>399</v>
      </c>
      <c r="E279" s="71" t="s">
        <v>358</v>
      </c>
    </row>
    <row r="280" spans="1:5">
      <c r="A280" s="73">
        <v>279</v>
      </c>
      <c r="B280" s="74" t="s">
        <v>116</v>
      </c>
      <c r="C280" s="77">
        <v>11353799</v>
      </c>
      <c r="D280" s="71" t="s">
        <v>400</v>
      </c>
      <c r="E280" s="71" t="s">
        <v>358</v>
      </c>
    </row>
    <row r="281" spans="1:5">
      <c r="A281" s="73">
        <v>280</v>
      </c>
      <c r="B281" s="74" t="s">
        <v>116</v>
      </c>
      <c r="C281" s="77">
        <v>11351668</v>
      </c>
      <c r="D281" s="71" t="s">
        <v>401</v>
      </c>
      <c r="E281" s="71" t="s">
        <v>358</v>
      </c>
    </row>
    <row r="282" spans="1:5">
      <c r="A282" s="73">
        <v>281</v>
      </c>
      <c r="B282" s="74" t="s">
        <v>116</v>
      </c>
      <c r="C282" s="77">
        <v>11336454</v>
      </c>
      <c r="D282" s="71" t="s">
        <v>402</v>
      </c>
      <c r="E282" s="71" t="s">
        <v>358</v>
      </c>
    </row>
    <row r="283" spans="1:5">
      <c r="A283" s="73">
        <v>282</v>
      </c>
      <c r="B283" s="74" t="s">
        <v>116</v>
      </c>
      <c r="C283" s="77">
        <v>11335659</v>
      </c>
      <c r="D283" s="71" t="s">
        <v>403</v>
      </c>
      <c r="E283" s="71" t="s">
        <v>358</v>
      </c>
    </row>
    <row r="284" spans="1:5">
      <c r="A284" s="73">
        <v>283</v>
      </c>
      <c r="B284" s="74" t="s">
        <v>116</v>
      </c>
      <c r="C284" s="77">
        <v>11351376</v>
      </c>
      <c r="D284" s="71" t="s">
        <v>404</v>
      </c>
      <c r="E284" s="71" t="s">
        <v>358</v>
      </c>
    </row>
    <row r="285" spans="1:5">
      <c r="A285" s="73">
        <v>284</v>
      </c>
      <c r="B285" s="74" t="s">
        <v>116</v>
      </c>
      <c r="C285" s="77">
        <v>11352902</v>
      </c>
      <c r="D285" s="71" t="s">
        <v>405</v>
      </c>
      <c r="E285" s="71" t="s">
        <v>358</v>
      </c>
    </row>
    <row r="286" spans="1:5">
      <c r="A286" s="73">
        <v>285</v>
      </c>
      <c r="B286" s="74" t="s">
        <v>116</v>
      </c>
      <c r="C286" s="77">
        <v>11354232</v>
      </c>
      <c r="D286" s="71" t="s">
        <v>406</v>
      </c>
      <c r="E286" s="71" t="s">
        <v>358</v>
      </c>
    </row>
    <row r="287" spans="1:5">
      <c r="A287" s="73">
        <v>286</v>
      </c>
      <c r="B287" s="74" t="s">
        <v>116</v>
      </c>
      <c r="C287" s="77">
        <v>11354847</v>
      </c>
      <c r="D287" s="71" t="s">
        <v>407</v>
      </c>
      <c r="E287" s="71" t="s">
        <v>358</v>
      </c>
    </row>
    <row r="288" spans="1:5">
      <c r="A288" s="73">
        <v>287</v>
      </c>
      <c r="B288" s="74" t="s">
        <v>116</v>
      </c>
      <c r="C288" s="77">
        <v>11352421</v>
      </c>
      <c r="D288" s="71" t="s">
        <v>408</v>
      </c>
      <c r="E288" s="71" t="s">
        <v>358</v>
      </c>
    </row>
    <row r="289" spans="1:5">
      <c r="A289" s="73">
        <v>288</v>
      </c>
      <c r="B289" s="74" t="s">
        <v>116</v>
      </c>
      <c r="C289" s="77">
        <v>11350492</v>
      </c>
      <c r="D289" s="71" t="s">
        <v>409</v>
      </c>
      <c r="E289" s="71" t="s">
        <v>358</v>
      </c>
    </row>
    <row r="290" spans="1:5">
      <c r="A290" s="73">
        <v>289</v>
      </c>
      <c r="B290" s="74" t="s">
        <v>116</v>
      </c>
      <c r="C290" s="77">
        <v>11350930</v>
      </c>
      <c r="D290" s="71" t="s">
        <v>410</v>
      </c>
      <c r="E290" s="71" t="s">
        <v>358</v>
      </c>
    </row>
    <row r="291" spans="1:5">
      <c r="A291" s="73">
        <v>290</v>
      </c>
      <c r="B291" s="74" t="s">
        <v>116</v>
      </c>
      <c r="C291" s="77">
        <v>11338580</v>
      </c>
      <c r="D291" s="71" t="s">
        <v>411</v>
      </c>
      <c r="E291" s="71" t="s">
        <v>358</v>
      </c>
    </row>
    <row r="292" spans="1:5">
      <c r="A292" s="73">
        <v>291</v>
      </c>
      <c r="B292" s="74" t="s">
        <v>116</v>
      </c>
      <c r="C292" s="77">
        <v>11350580</v>
      </c>
      <c r="D292" s="71" t="s">
        <v>412</v>
      </c>
      <c r="E292" s="71" t="s">
        <v>358</v>
      </c>
    </row>
    <row r="293" spans="1:5">
      <c r="A293" s="73">
        <v>292</v>
      </c>
      <c r="B293" s="74" t="s">
        <v>116</v>
      </c>
      <c r="C293" s="77">
        <v>11354751</v>
      </c>
      <c r="D293" s="71" t="s">
        <v>413</v>
      </c>
      <c r="E293" s="71" t="s">
        <v>358</v>
      </c>
    </row>
    <row r="294" spans="1:5">
      <c r="A294" s="73">
        <v>293</v>
      </c>
      <c r="B294" s="74" t="s">
        <v>116</v>
      </c>
      <c r="C294" s="77">
        <v>11351412</v>
      </c>
      <c r="D294" s="71" t="s">
        <v>414</v>
      </c>
      <c r="E294" s="71" t="s">
        <v>358</v>
      </c>
    </row>
    <row r="295" spans="1:5">
      <c r="A295" s="73">
        <v>294</v>
      </c>
      <c r="B295" s="74" t="s">
        <v>116</v>
      </c>
      <c r="C295" s="77">
        <v>11336821</v>
      </c>
      <c r="D295" s="71" t="s">
        <v>415</v>
      </c>
      <c r="E295" s="71" t="s">
        <v>358</v>
      </c>
    </row>
    <row r="296" spans="1:5">
      <c r="A296" s="73">
        <v>295</v>
      </c>
      <c r="B296" s="74" t="s">
        <v>116</v>
      </c>
      <c r="C296" s="77">
        <v>11336115</v>
      </c>
      <c r="D296" s="71" t="s">
        <v>416</v>
      </c>
      <c r="E296" s="71" t="s">
        <v>358</v>
      </c>
    </row>
    <row r="297" spans="1:5">
      <c r="A297" s="73">
        <v>296</v>
      </c>
      <c r="B297" s="74" t="s">
        <v>116</v>
      </c>
      <c r="C297" s="77">
        <v>11351703</v>
      </c>
      <c r="D297" s="71" t="s">
        <v>417</v>
      </c>
      <c r="E297" s="71" t="s">
        <v>418</v>
      </c>
    </row>
    <row r="298" spans="1:5">
      <c r="A298" s="73">
        <v>297</v>
      </c>
      <c r="B298" s="74" t="s">
        <v>116</v>
      </c>
      <c r="C298" s="77">
        <v>11331476</v>
      </c>
      <c r="D298" s="71" t="s">
        <v>419</v>
      </c>
      <c r="E298" s="71" t="s">
        <v>418</v>
      </c>
    </row>
    <row r="299" spans="1:5">
      <c r="A299" s="73">
        <v>298</v>
      </c>
      <c r="B299" s="74" t="s">
        <v>116</v>
      </c>
      <c r="C299" s="77">
        <v>11342609</v>
      </c>
      <c r="D299" s="71" t="s">
        <v>420</v>
      </c>
      <c r="E299" s="71" t="s">
        <v>418</v>
      </c>
    </row>
    <row r="300" spans="1:5">
      <c r="A300" s="73">
        <v>299</v>
      </c>
      <c r="B300" s="74" t="s">
        <v>116</v>
      </c>
      <c r="C300" s="77">
        <v>11336118</v>
      </c>
      <c r="D300" s="71" t="s">
        <v>421</v>
      </c>
      <c r="E300" s="71" t="s">
        <v>418</v>
      </c>
    </row>
    <row r="301" spans="1:5">
      <c r="A301" s="73">
        <v>300</v>
      </c>
      <c r="B301" s="74" t="s">
        <v>116</v>
      </c>
      <c r="C301" s="77">
        <v>11353092</v>
      </c>
      <c r="D301" s="71" t="s">
        <v>422</v>
      </c>
      <c r="E301" s="71" t="s">
        <v>418</v>
      </c>
    </row>
    <row r="302" spans="1:5">
      <c r="A302" s="73">
        <v>301</v>
      </c>
      <c r="B302" s="74" t="s">
        <v>116</v>
      </c>
      <c r="C302" s="77">
        <v>11350584</v>
      </c>
      <c r="D302" s="71" t="s">
        <v>423</v>
      </c>
      <c r="E302" s="71" t="s">
        <v>418</v>
      </c>
    </row>
    <row r="303" spans="1:5">
      <c r="A303" s="73">
        <v>302</v>
      </c>
      <c r="B303" s="74" t="s">
        <v>116</v>
      </c>
      <c r="C303" s="77">
        <v>11352876</v>
      </c>
      <c r="D303" s="71" t="s">
        <v>424</v>
      </c>
      <c r="E303" s="71" t="s">
        <v>418</v>
      </c>
    </row>
    <row r="304" spans="1:5">
      <c r="A304" s="73">
        <v>303</v>
      </c>
      <c r="B304" s="74" t="s">
        <v>116</v>
      </c>
      <c r="C304" s="77">
        <v>11293888</v>
      </c>
      <c r="D304" s="71" t="s">
        <v>425</v>
      </c>
      <c r="E304" s="71" t="s">
        <v>418</v>
      </c>
    </row>
    <row r="305" spans="1:5">
      <c r="A305" s="73">
        <v>304</v>
      </c>
      <c r="B305" s="74" t="s">
        <v>116</v>
      </c>
      <c r="C305" s="77">
        <v>11347596</v>
      </c>
      <c r="D305" s="71" t="s">
        <v>426</v>
      </c>
      <c r="E305" s="71" t="s">
        <v>418</v>
      </c>
    </row>
    <row r="306" spans="1:5">
      <c r="A306" s="73">
        <v>305</v>
      </c>
      <c r="B306" s="74" t="s">
        <v>116</v>
      </c>
      <c r="C306" s="77">
        <v>11336068</v>
      </c>
      <c r="D306" s="71" t="s">
        <v>427</v>
      </c>
      <c r="E306" s="71" t="s">
        <v>418</v>
      </c>
    </row>
    <row r="307" spans="1:5">
      <c r="A307" s="73">
        <v>306</v>
      </c>
      <c r="B307" s="74" t="s">
        <v>116</v>
      </c>
      <c r="C307" s="77">
        <v>11335078</v>
      </c>
      <c r="D307" s="71" t="s">
        <v>428</v>
      </c>
      <c r="E307" s="71" t="s">
        <v>418</v>
      </c>
    </row>
    <row r="308" spans="1:5">
      <c r="A308" s="73">
        <v>307</v>
      </c>
      <c r="B308" s="74" t="s">
        <v>116</v>
      </c>
      <c r="C308" s="77">
        <v>11335273</v>
      </c>
      <c r="D308" s="71" t="s">
        <v>429</v>
      </c>
      <c r="E308" s="71" t="s">
        <v>418</v>
      </c>
    </row>
    <row r="309" spans="1:5">
      <c r="A309" s="73">
        <v>308</v>
      </c>
      <c r="B309" s="74" t="s">
        <v>116</v>
      </c>
      <c r="C309" s="77">
        <v>11320970</v>
      </c>
      <c r="D309" s="71" t="s">
        <v>430</v>
      </c>
      <c r="E309" s="71" t="s">
        <v>418</v>
      </c>
    </row>
    <row r="310" spans="1:5">
      <c r="A310" s="73">
        <v>309</v>
      </c>
      <c r="B310" s="74" t="s">
        <v>116</v>
      </c>
      <c r="C310" s="77">
        <v>11353788</v>
      </c>
      <c r="D310" s="71" t="s">
        <v>431</v>
      </c>
      <c r="E310" s="71" t="s">
        <v>418</v>
      </c>
    </row>
    <row r="311" spans="1:5">
      <c r="A311" s="73">
        <v>310</v>
      </c>
      <c r="B311" s="74" t="s">
        <v>116</v>
      </c>
      <c r="C311" s="77">
        <v>11332347</v>
      </c>
      <c r="D311" s="71" t="s">
        <v>432</v>
      </c>
      <c r="E311" s="71" t="s">
        <v>418</v>
      </c>
    </row>
    <row r="312" spans="1:5">
      <c r="A312" s="73">
        <v>311</v>
      </c>
      <c r="B312" s="74" t="s">
        <v>116</v>
      </c>
      <c r="C312" s="77">
        <v>11351033</v>
      </c>
      <c r="D312" s="71" t="s">
        <v>433</v>
      </c>
      <c r="E312" s="71" t="s">
        <v>418</v>
      </c>
    </row>
    <row r="313" spans="1:5">
      <c r="A313" s="73">
        <v>312</v>
      </c>
      <c r="B313" s="74" t="s">
        <v>116</v>
      </c>
      <c r="C313" s="77">
        <v>11350796</v>
      </c>
      <c r="D313" s="71" t="s">
        <v>434</v>
      </c>
      <c r="E313" s="71" t="s">
        <v>418</v>
      </c>
    </row>
    <row r="314" spans="1:5">
      <c r="A314" s="73">
        <v>313</v>
      </c>
      <c r="B314" s="74" t="s">
        <v>116</v>
      </c>
      <c r="C314" s="77">
        <v>11354721</v>
      </c>
      <c r="D314" s="71" t="s">
        <v>435</v>
      </c>
      <c r="E314" s="71" t="s">
        <v>418</v>
      </c>
    </row>
    <row r="315" spans="1:5">
      <c r="A315" s="73">
        <v>314</v>
      </c>
      <c r="B315" s="74" t="s">
        <v>116</v>
      </c>
      <c r="C315" s="77">
        <v>11334411</v>
      </c>
      <c r="D315" s="71" t="s">
        <v>436</v>
      </c>
      <c r="E315" s="71" t="s">
        <v>418</v>
      </c>
    </row>
    <row r="316" spans="1:5">
      <c r="A316" s="73">
        <v>315</v>
      </c>
      <c r="B316" s="74" t="s">
        <v>116</v>
      </c>
      <c r="C316" s="77">
        <v>11352545</v>
      </c>
      <c r="D316" s="71" t="s">
        <v>437</v>
      </c>
      <c r="E316" s="71" t="s">
        <v>418</v>
      </c>
    </row>
    <row r="317" spans="1:5">
      <c r="A317" s="73">
        <v>316</v>
      </c>
      <c r="B317" s="74" t="s">
        <v>116</v>
      </c>
      <c r="C317" s="77">
        <v>11352121</v>
      </c>
      <c r="D317" s="71" t="s">
        <v>438</v>
      </c>
      <c r="E317" s="71" t="s">
        <v>418</v>
      </c>
    </row>
    <row r="318" spans="1:5">
      <c r="A318" s="73">
        <v>317</v>
      </c>
      <c r="B318" s="74" t="s">
        <v>116</v>
      </c>
      <c r="C318" s="77">
        <v>11334097</v>
      </c>
      <c r="D318" s="71" t="s">
        <v>439</v>
      </c>
      <c r="E318" s="71" t="s">
        <v>418</v>
      </c>
    </row>
    <row r="319" spans="1:5">
      <c r="A319" s="73">
        <v>318</v>
      </c>
      <c r="B319" s="74" t="s">
        <v>116</v>
      </c>
      <c r="C319" s="77">
        <v>11353985</v>
      </c>
      <c r="D319" s="71" t="s">
        <v>440</v>
      </c>
      <c r="E319" s="71" t="s">
        <v>418</v>
      </c>
    </row>
    <row r="320" spans="1:5">
      <c r="A320" s="73">
        <v>319</v>
      </c>
      <c r="B320" s="74" t="s">
        <v>116</v>
      </c>
      <c r="C320" s="77">
        <v>11352586</v>
      </c>
      <c r="D320" s="71" t="s">
        <v>441</v>
      </c>
      <c r="E320" s="71" t="s">
        <v>418</v>
      </c>
    </row>
    <row r="321" spans="1:5">
      <c r="A321" s="73">
        <v>320</v>
      </c>
      <c r="B321" s="74" t="s">
        <v>116</v>
      </c>
      <c r="C321" s="77">
        <v>11351375</v>
      </c>
      <c r="D321" s="71" t="s">
        <v>442</v>
      </c>
      <c r="E321" s="71" t="s">
        <v>418</v>
      </c>
    </row>
    <row r="322" spans="1:5">
      <c r="A322" s="73">
        <v>321</v>
      </c>
      <c r="B322" s="74" t="s">
        <v>116</v>
      </c>
      <c r="C322" s="77">
        <v>11352712</v>
      </c>
      <c r="D322" s="71" t="s">
        <v>443</v>
      </c>
      <c r="E322" s="71" t="s">
        <v>418</v>
      </c>
    </row>
    <row r="323" spans="1:5">
      <c r="A323" s="73">
        <v>322</v>
      </c>
      <c r="B323" s="74" t="s">
        <v>116</v>
      </c>
      <c r="C323" s="77">
        <v>11333358</v>
      </c>
      <c r="D323" s="71" t="s">
        <v>444</v>
      </c>
      <c r="E323" s="71" t="s">
        <v>418</v>
      </c>
    </row>
    <row r="324" spans="1:5">
      <c r="A324" s="73">
        <v>323</v>
      </c>
      <c r="B324" s="74" t="s">
        <v>116</v>
      </c>
      <c r="C324" s="77">
        <v>11350790</v>
      </c>
      <c r="D324" s="71" t="s">
        <v>445</v>
      </c>
      <c r="E324" s="71" t="s">
        <v>418</v>
      </c>
    </row>
    <row r="325" spans="1:5">
      <c r="A325" s="73">
        <v>324</v>
      </c>
      <c r="B325" s="74" t="s">
        <v>116</v>
      </c>
      <c r="C325" s="77">
        <v>11354050</v>
      </c>
      <c r="D325" s="71" t="s">
        <v>446</v>
      </c>
      <c r="E325" s="71" t="s">
        <v>418</v>
      </c>
    </row>
    <row r="326" spans="1:5">
      <c r="A326" s="73">
        <v>325</v>
      </c>
      <c r="B326" s="74" t="s">
        <v>116</v>
      </c>
      <c r="C326" s="77">
        <v>11353858</v>
      </c>
      <c r="D326" s="71" t="s">
        <v>447</v>
      </c>
      <c r="E326" s="71" t="s">
        <v>418</v>
      </c>
    </row>
    <row r="327" spans="1:5">
      <c r="A327" s="73">
        <v>326</v>
      </c>
      <c r="B327" s="74" t="s">
        <v>116</v>
      </c>
      <c r="C327" s="77">
        <v>11354040</v>
      </c>
      <c r="D327" s="71" t="s">
        <v>448</v>
      </c>
      <c r="E327" s="71" t="s">
        <v>418</v>
      </c>
    </row>
    <row r="328" spans="1:5">
      <c r="A328" s="73">
        <v>327</v>
      </c>
      <c r="B328" s="74" t="s">
        <v>116</v>
      </c>
      <c r="C328" s="77">
        <v>11354372</v>
      </c>
      <c r="D328" s="71" t="s">
        <v>449</v>
      </c>
      <c r="E328" s="71" t="s">
        <v>418</v>
      </c>
    </row>
    <row r="329" spans="1:5">
      <c r="A329" s="73">
        <v>328</v>
      </c>
      <c r="B329" s="74" t="s">
        <v>116</v>
      </c>
      <c r="C329" s="77">
        <v>11353175</v>
      </c>
      <c r="D329" s="71" t="s">
        <v>450</v>
      </c>
      <c r="E329" s="71" t="s">
        <v>418</v>
      </c>
    </row>
    <row r="330" spans="1:5">
      <c r="A330" s="73">
        <v>329</v>
      </c>
      <c r="B330" s="74" t="s">
        <v>116</v>
      </c>
      <c r="C330" s="77">
        <v>11354852</v>
      </c>
      <c r="D330" s="71" t="s">
        <v>451</v>
      </c>
      <c r="E330" s="71" t="s">
        <v>418</v>
      </c>
    </row>
    <row r="331" spans="1:5">
      <c r="A331" s="73">
        <v>330</v>
      </c>
      <c r="B331" s="74" t="s">
        <v>116</v>
      </c>
      <c r="C331" s="77">
        <v>11350413</v>
      </c>
      <c r="D331" s="71" t="s">
        <v>452</v>
      </c>
      <c r="E331" s="71" t="s">
        <v>418</v>
      </c>
    </row>
    <row r="332" spans="1:5">
      <c r="A332" s="73">
        <v>331</v>
      </c>
      <c r="B332" s="74" t="s">
        <v>116</v>
      </c>
      <c r="C332" s="77">
        <v>11333776</v>
      </c>
      <c r="D332" s="71" t="s">
        <v>453</v>
      </c>
      <c r="E332" s="71" t="s">
        <v>418</v>
      </c>
    </row>
    <row r="333" spans="1:5">
      <c r="A333" s="73">
        <v>332</v>
      </c>
      <c r="B333" s="74" t="s">
        <v>116</v>
      </c>
      <c r="C333" s="77">
        <v>11350582</v>
      </c>
      <c r="D333" s="71" t="s">
        <v>454</v>
      </c>
      <c r="E333" s="71" t="s">
        <v>418</v>
      </c>
    </row>
    <row r="334" spans="1:5">
      <c r="A334" s="73">
        <v>333</v>
      </c>
      <c r="B334" s="74" t="s">
        <v>116</v>
      </c>
      <c r="C334" s="77">
        <v>11334340</v>
      </c>
      <c r="D334" s="71" t="s">
        <v>455</v>
      </c>
      <c r="E334" s="71" t="s">
        <v>418</v>
      </c>
    </row>
    <row r="335" spans="1:5">
      <c r="A335" s="73">
        <v>334</v>
      </c>
      <c r="B335" s="74" t="s">
        <v>116</v>
      </c>
      <c r="C335" s="77">
        <v>11354375</v>
      </c>
      <c r="D335" s="71" t="s">
        <v>456</v>
      </c>
      <c r="E335" s="71" t="s">
        <v>418</v>
      </c>
    </row>
    <row r="336" spans="1:5">
      <c r="A336" s="73">
        <v>335</v>
      </c>
      <c r="B336" s="74" t="s">
        <v>116</v>
      </c>
      <c r="C336" s="77">
        <v>11333894</v>
      </c>
      <c r="D336" s="71" t="s">
        <v>457</v>
      </c>
      <c r="E336" s="71" t="s">
        <v>418</v>
      </c>
    </row>
    <row r="337" spans="1:5">
      <c r="A337" s="73">
        <v>336</v>
      </c>
      <c r="B337" s="74" t="s">
        <v>116</v>
      </c>
      <c r="C337" s="77">
        <v>11351644</v>
      </c>
      <c r="D337" s="71" t="s">
        <v>458</v>
      </c>
      <c r="E337" s="71" t="s">
        <v>418</v>
      </c>
    </row>
    <row r="338" spans="1:5">
      <c r="A338" s="73">
        <v>337</v>
      </c>
      <c r="B338" s="74" t="s">
        <v>116</v>
      </c>
      <c r="C338" s="77">
        <v>11354281</v>
      </c>
      <c r="D338" s="71" t="s">
        <v>459</v>
      </c>
      <c r="E338" s="71" t="s">
        <v>418</v>
      </c>
    </row>
    <row r="339" spans="1:5">
      <c r="A339" s="73">
        <v>338</v>
      </c>
      <c r="B339" s="74" t="s">
        <v>116</v>
      </c>
      <c r="C339" s="77">
        <v>11352867</v>
      </c>
      <c r="D339" s="71" t="s">
        <v>460</v>
      </c>
      <c r="E339" s="71" t="s">
        <v>418</v>
      </c>
    </row>
    <row r="340" spans="1:5">
      <c r="A340" s="73">
        <v>339</v>
      </c>
      <c r="B340" s="74" t="s">
        <v>116</v>
      </c>
      <c r="C340" s="77">
        <v>11353801</v>
      </c>
      <c r="D340" s="71" t="s">
        <v>461</v>
      </c>
      <c r="E340" s="71" t="s">
        <v>418</v>
      </c>
    </row>
    <row r="341" spans="1:5">
      <c r="A341" s="73">
        <v>340</v>
      </c>
      <c r="B341" s="74" t="s">
        <v>116</v>
      </c>
      <c r="C341" s="77">
        <v>11353796</v>
      </c>
      <c r="D341" s="71" t="s">
        <v>462</v>
      </c>
      <c r="E341" s="71" t="s">
        <v>418</v>
      </c>
    </row>
    <row r="342" spans="1:5">
      <c r="A342" s="73">
        <v>341</v>
      </c>
      <c r="B342" s="74" t="s">
        <v>116</v>
      </c>
      <c r="C342" s="77">
        <v>11350587</v>
      </c>
      <c r="D342" s="71" t="s">
        <v>463</v>
      </c>
      <c r="E342" s="71" t="s">
        <v>418</v>
      </c>
    </row>
    <row r="343" spans="1:5">
      <c r="A343" s="73">
        <v>342</v>
      </c>
      <c r="B343" s="74" t="s">
        <v>116</v>
      </c>
      <c r="C343" s="77">
        <v>11337625</v>
      </c>
      <c r="D343" s="71" t="s">
        <v>464</v>
      </c>
      <c r="E343" s="71" t="s">
        <v>418</v>
      </c>
    </row>
    <row r="344" spans="1:5">
      <c r="A344" s="73">
        <v>343</v>
      </c>
      <c r="B344" s="74" t="s">
        <v>116</v>
      </c>
      <c r="C344" s="77">
        <v>11334912</v>
      </c>
      <c r="D344" s="71" t="s">
        <v>465</v>
      </c>
      <c r="E344" s="71" t="s">
        <v>418</v>
      </c>
    </row>
    <row r="345" spans="1:5">
      <c r="A345" s="73">
        <v>344</v>
      </c>
      <c r="B345" s="74" t="s">
        <v>116</v>
      </c>
      <c r="C345" s="77">
        <v>11334873</v>
      </c>
      <c r="D345" s="71" t="s">
        <v>466</v>
      </c>
      <c r="E345" s="71" t="s">
        <v>418</v>
      </c>
    </row>
    <row r="346" spans="1:5">
      <c r="A346" s="73">
        <v>345</v>
      </c>
      <c r="B346" s="74" t="s">
        <v>116</v>
      </c>
      <c r="C346" s="77">
        <v>11353338</v>
      </c>
      <c r="D346" s="71" t="s">
        <v>467</v>
      </c>
      <c r="E346" s="71" t="s">
        <v>418</v>
      </c>
    </row>
    <row r="347" spans="1:5">
      <c r="A347" s="73">
        <v>346</v>
      </c>
      <c r="B347" s="74" t="s">
        <v>116</v>
      </c>
      <c r="C347" s="77">
        <v>11350833</v>
      </c>
      <c r="D347" s="71" t="s">
        <v>468</v>
      </c>
      <c r="E347" s="71" t="s">
        <v>418</v>
      </c>
    </row>
    <row r="348" spans="1:5">
      <c r="A348" s="73">
        <v>347</v>
      </c>
      <c r="B348" s="74" t="s">
        <v>116</v>
      </c>
      <c r="C348" s="77">
        <v>11351209</v>
      </c>
      <c r="D348" s="71" t="s">
        <v>469</v>
      </c>
      <c r="E348" s="71" t="s">
        <v>418</v>
      </c>
    </row>
    <row r="349" spans="1:5">
      <c r="A349" s="73">
        <v>348</v>
      </c>
      <c r="B349" s="74" t="s">
        <v>116</v>
      </c>
      <c r="C349" s="77">
        <v>11350460</v>
      </c>
      <c r="D349" s="71" t="s">
        <v>470</v>
      </c>
      <c r="E349" s="71" t="s">
        <v>418</v>
      </c>
    </row>
    <row r="350" spans="1:5">
      <c r="A350" s="73">
        <v>349</v>
      </c>
      <c r="B350" s="74" t="s">
        <v>116</v>
      </c>
      <c r="C350" s="77">
        <v>11333901</v>
      </c>
      <c r="D350" s="71" t="s">
        <v>471</v>
      </c>
      <c r="E350" s="71" t="s">
        <v>418</v>
      </c>
    </row>
    <row r="351" spans="1:5">
      <c r="A351" s="73">
        <v>350</v>
      </c>
      <c r="B351" s="74" t="s">
        <v>116</v>
      </c>
      <c r="C351" s="77">
        <v>11354301</v>
      </c>
      <c r="D351" s="71" t="s">
        <v>472</v>
      </c>
      <c r="E351" s="71" t="s">
        <v>418</v>
      </c>
    </row>
    <row r="352" spans="1:5">
      <c r="A352" s="73">
        <v>351</v>
      </c>
      <c r="B352" s="74" t="s">
        <v>116</v>
      </c>
      <c r="C352" s="77">
        <v>11351130</v>
      </c>
      <c r="D352" s="71" t="s">
        <v>473</v>
      </c>
      <c r="E352" s="71" t="s">
        <v>418</v>
      </c>
    </row>
    <row r="353" spans="1:5">
      <c r="A353" s="73">
        <v>352</v>
      </c>
      <c r="B353" s="74" t="s">
        <v>116</v>
      </c>
      <c r="C353" s="77">
        <v>11353079</v>
      </c>
      <c r="D353" s="71" t="s">
        <v>474</v>
      </c>
      <c r="E353" s="71" t="s">
        <v>418</v>
      </c>
    </row>
    <row r="354" spans="1:5">
      <c r="A354" s="73">
        <v>353</v>
      </c>
      <c r="B354" s="74" t="s">
        <v>116</v>
      </c>
      <c r="C354" s="77">
        <v>11354656</v>
      </c>
      <c r="D354" s="71" t="s">
        <v>475</v>
      </c>
      <c r="E354" s="71" t="s">
        <v>418</v>
      </c>
    </row>
    <row r="355" spans="1:5">
      <c r="A355" s="73">
        <v>354</v>
      </c>
      <c r="B355" s="74" t="s">
        <v>116</v>
      </c>
      <c r="C355" s="77">
        <v>11353090</v>
      </c>
      <c r="D355" s="71" t="s">
        <v>476</v>
      </c>
      <c r="E355" s="71" t="s">
        <v>418</v>
      </c>
    </row>
    <row r="356" spans="1:5">
      <c r="A356" s="73">
        <v>355</v>
      </c>
      <c r="B356" s="74" t="s">
        <v>116</v>
      </c>
      <c r="C356" s="77">
        <v>11352435</v>
      </c>
      <c r="D356" s="71" t="s">
        <v>477</v>
      </c>
      <c r="E356" s="71" t="s">
        <v>418</v>
      </c>
    </row>
    <row r="357" spans="1:5">
      <c r="A357" s="73">
        <v>356</v>
      </c>
      <c r="B357" s="74" t="s">
        <v>116</v>
      </c>
      <c r="C357" s="77">
        <v>11335194</v>
      </c>
      <c r="D357" s="71" t="s">
        <v>478</v>
      </c>
      <c r="E357" s="71" t="s">
        <v>418</v>
      </c>
    </row>
    <row r="358" spans="1:5">
      <c r="A358" s="73">
        <v>357</v>
      </c>
      <c r="B358" s="74" t="s">
        <v>116</v>
      </c>
      <c r="C358" s="77">
        <v>11354879</v>
      </c>
      <c r="D358" s="71" t="s">
        <v>479</v>
      </c>
      <c r="E358" s="71" t="s">
        <v>418</v>
      </c>
    </row>
    <row r="359" spans="1:5">
      <c r="A359" s="73">
        <v>358</v>
      </c>
      <c r="B359" s="74" t="s">
        <v>116</v>
      </c>
      <c r="C359" s="77">
        <v>11337015</v>
      </c>
      <c r="D359" s="71" t="s">
        <v>480</v>
      </c>
      <c r="E359" s="71" t="s">
        <v>418</v>
      </c>
    </row>
    <row r="360" spans="1:5">
      <c r="A360" s="73">
        <v>359</v>
      </c>
      <c r="B360" s="74" t="s">
        <v>116</v>
      </c>
      <c r="C360" s="77">
        <v>11353430</v>
      </c>
      <c r="D360" s="71" t="s">
        <v>481</v>
      </c>
      <c r="E360" s="71" t="s">
        <v>482</v>
      </c>
    </row>
    <row r="361" spans="1:5">
      <c r="A361" s="73">
        <v>360</v>
      </c>
      <c r="B361" s="74" t="s">
        <v>116</v>
      </c>
      <c r="C361" s="77">
        <v>11354743</v>
      </c>
      <c r="D361" s="71" t="s">
        <v>483</v>
      </c>
      <c r="E361" s="71" t="s">
        <v>482</v>
      </c>
    </row>
    <row r="362" spans="1:5">
      <c r="A362" s="73">
        <v>361</v>
      </c>
      <c r="B362" s="74" t="s">
        <v>116</v>
      </c>
      <c r="C362" s="77">
        <v>11333738</v>
      </c>
      <c r="D362" s="71" t="s">
        <v>484</v>
      </c>
      <c r="E362" s="71" t="s">
        <v>482</v>
      </c>
    </row>
    <row r="363" spans="1:5">
      <c r="A363" s="73">
        <v>362</v>
      </c>
      <c r="B363" s="74" t="s">
        <v>116</v>
      </c>
      <c r="C363" s="77">
        <v>11354210</v>
      </c>
      <c r="D363" s="71" t="s">
        <v>485</v>
      </c>
      <c r="E363" s="71" t="s">
        <v>482</v>
      </c>
    </row>
    <row r="364" spans="1:5">
      <c r="A364" s="73">
        <v>363</v>
      </c>
      <c r="B364" s="74" t="s">
        <v>116</v>
      </c>
      <c r="C364" s="77">
        <v>11347404</v>
      </c>
      <c r="D364" s="71" t="s">
        <v>486</v>
      </c>
      <c r="E364" s="71" t="s">
        <v>482</v>
      </c>
    </row>
    <row r="365" spans="1:5">
      <c r="A365" s="73">
        <v>364</v>
      </c>
      <c r="B365" s="74" t="s">
        <v>116</v>
      </c>
      <c r="C365" s="77">
        <v>11353590</v>
      </c>
      <c r="D365" s="71" t="s">
        <v>487</v>
      </c>
      <c r="E365" s="71" t="s">
        <v>482</v>
      </c>
    </row>
    <row r="366" spans="1:5">
      <c r="A366" s="73">
        <v>365</v>
      </c>
      <c r="B366" s="74" t="s">
        <v>116</v>
      </c>
      <c r="C366" s="77">
        <v>11353331</v>
      </c>
      <c r="D366" s="71" t="s">
        <v>488</v>
      </c>
      <c r="E366" s="71" t="s">
        <v>482</v>
      </c>
    </row>
    <row r="367" spans="1:5">
      <c r="A367" s="73">
        <v>366</v>
      </c>
      <c r="B367" s="74" t="s">
        <v>116</v>
      </c>
      <c r="C367" s="77">
        <v>11351537</v>
      </c>
      <c r="D367" s="71" t="s">
        <v>489</v>
      </c>
      <c r="E367" s="71" t="s">
        <v>482</v>
      </c>
    </row>
    <row r="368" spans="1:5">
      <c r="A368" s="73">
        <v>367</v>
      </c>
      <c r="B368" s="74" t="s">
        <v>116</v>
      </c>
      <c r="C368" s="77">
        <v>11352408</v>
      </c>
      <c r="D368" s="71" t="s">
        <v>490</v>
      </c>
      <c r="E368" s="71" t="s">
        <v>482</v>
      </c>
    </row>
    <row r="369" spans="1:5">
      <c r="A369" s="73">
        <v>368</v>
      </c>
      <c r="B369" s="74" t="s">
        <v>116</v>
      </c>
      <c r="C369" s="77">
        <v>11353084</v>
      </c>
      <c r="D369" s="71" t="s">
        <v>491</v>
      </c>
      <c r="E369" s="71" t="s">
        <v>482</v>
      </c>
    </row>
    <row r="370" spans="1:5">
      <c r="A370" s="73">
        <v>369</v>
      </c>
      <c r="B370" s="74" t="s">
        <v>116</v>
      </c>
      <c r="C370" s="77">
        <v>11353827</v>
      </c>
      <c r="D370" s="71" t="s">
        <v>492</v>
      </c>
      <c r="E370" s="71" t="s">
        <v>482</v>
      </c>
    </row>
    <row r="371" spans="1:5">
      <c r="A371" s="73">
        <v>370</v>
      </c>
      <c r="B371" s="74" t="s">
        <v>116</v>
      </c>
      <c r="C371" s="77">
        <v>11354445</v>
      </c>
      <c r="D371" s="71" t="s">
        <v>493</v>
      </c>
      <c r="E371" s="71" t="s">
        <v>482</v>
      </c>
    </row>
    <row r="372" spans="1:5">
      <c r="A372" s="73">
        <v>371</v>
      </c>
      <c r="B372" s="74" t="s">
        <v>116</v>
      </c>
      <c r="C372" s="77">
        <v>11330650</v>
      </c>
      <c r="D372" s="71" t="s">
        <v>494</v>
      </c>
      <c r="E372" s="71" t="s">
        <v>482</v>
      </c>
    </row>
    <row r="373" spans="1:5">
      <c r="A373" s="73">
        <v>372</v>
      </c>
      <c r="B373" s="74" t="s">
        <v>116</v>
      </c>
      <c r="C373" s="77">
        <v>11334469</v>
      </c>
      <c r="D373" s="71" t="s">
        <v>495</v>
      </c>
      <c r="E373" s="71" t="s">
        <v>482</v>
      </c>
    </row>
    <row r="374" spans="1:5">
      <c r="A374" s="73">
        <v>373</v>
      </c>
      <c r="B374" s="74" t="s">
        <v>116</v>
      </c>
      <c r="C374" s="77">
        <v>11337365</v>
      </c>
      <c r="D374" s="71" t="s">
        <v>496</v>
      </c>
      <c r="E374" s="71" t="s">
        <v>482</v>
      </c>
    </row>
    <row r="375" spans="1:5">
      <c r="A375" s="73">
        <v>374</v>
      </c>
      <c r="B375" s="74" t="s">
        <v>116</v>
      </c>
      <c r="C375" s="77">
        <v>11354134</v>
      </c>
      <c r="D375" s="71" t="s">
        <v>497</v>
      </c>
      <c r="E375" s="71" t="s">
        <v>482</v>
      </c>
    </row>
    <row r="376" spans="1:5">
      <c r="A376" s="73">
        <v>375</v>
      </c>
      <c r="B376" s="74" t="s">
        <v>116</v>
      </c>
      <c r="C376" s="77">
        <v>11353809</v>
      </c>
      <c r="D376" s="71" t="s">
        <v>498</v>
      </c>
      <c r="E376" s="71" t="s">
        <v>482</v>
      </c>
    </row>
    <row r="377" spans="1:5">
      <c r="A377" s="73">
        <v>376</v>
      </c>
      <c r="B377" s="74" t="s">
        <v>116</v>
      </c>
      <c r="C377" s="77">
        <v>11351208</v>
      </c>
      <c r="D377" s="71" t="s">
        <v>499</v>
      </c>
      <c r="E377" s="71" t="s">
        <v>482</v>
      </c>
    </row>
    <row r="378" spans="1:5">
      <c r="A378" s="73">
        <v>377</v>
      </c>
      <c r="B378" s="74" t="s">
        <v>116</v>
      </c>
      <c r="C378" s="77">
        <v>11352066</v>
      </c>
      <c r="D378" s="71" t="s">
        <v>500</v>
      </c>
      <c r="E378" s="71" t="s">
        <v>482</v>
      </c>
    </row>
    <row r="379" spans="1:5">
      <c r="A379" s="73">
        <v>378</v>
      </c>
      <c r="B379" s="74" t="s">
        <v>116</v>
      </c>
      <c r="C379" s="77">
        <v>11353205</v>
      </c>
      <c r="D379" s="71" t="s">
        <v>501</v>
      </c>
      <c r="E379" s="71" t="s">
        <v>482</v>
      </c>
    </row>
    <row r="380" spans="1:5">
      <c r="A380" s="73">
        <v>379</v>
      </c>
      <c r="B380" s="74" t="s">
        <v>116</v>
      </c>
      <c r="C380" s="77">
        <v>11351540</v>
      </c>
      <c r="D380" s="71" t="s">
        <v>502</v>
      </c>
      <c r="E380" s="71" t="s">
        <v>482</v>
      </c>
    </row>
    <row r="381" spans="1:5">
      <c r="A381" s="73">
        <v>380</v>
      </c>
      <c r="B381" s="74" t="s">
        <v>116</v>
      </c>
      <c r="C381" s="77">
        <v>11340605</v>
      </c>
      <c r="D381" s="71" t="s">
        <v>503</v>
      </c>
      <c r="E381" s="71" t="s">
        <v>482</v>
      </c>
    </row>
    <row r="382" spans="1:5">
      <c r="A382" s="73">
        <v>381</v>
      </c>
      <c r="B382" s="74" t="s">
        <v>116</v>
      </c>
      <c r="C382" s="77">
        <v>11354863</v>
      </c>
      <c r="D382" s="71" t="s">
        <v>504</v>
      </c>
      <c r="E382" s="71" t="s">
        <v>482</v>
      </c>
    </row>
    <row r="383" spans="1:5">
      <c r="A383" s="73">
        <v>382</v>
      </c>
      <c r="B383" s="74" t="s">
        <v>116</v>
      </c>
      <c r="C383" s="77">
        <v>11354107</v>
      </c>
      <c r="D383" s="71" t="s">
        <v>505</v>
      </c>
      <c r="E383" s="71" t="s">
        <v>482</v>
      </c>
    </row>
    <row r="384" spans="1:5">
      <c r="A384" s="73">
        <v>383</v>
      </c>
      <c r="B384" s="74" t="s">
        <v>116</v>
      </c>
      <c r="C384" s="77">
        <v>11335852</v>
      </c>
      <c r="D384" s="71" t="s">
        <v>506</v>
      </c>
      <c r="E384" s="71" t="s">
        <v>482</v>
      </c>
    </row>
    <row r="385" spans="1:5">
      <c r="A385" s="73">
        <v>384</v>
      </c>
      <c r="B385" s="74" t="s">
        <v>116</v>
      </c>
      <c r="C385" s="77">
        <v>11333980</v>
      </c>
      <c r="D385" s="71" t="s">
        <v>507</v>
      </c>
      <c r="E385" s="71" t="s">
        <v>482</v>
      </c>
    </row>
    <row r="386" spans="1:5">
      <c r="A386" s="73">
        <v>385</v>
      </c>
      <c r="B386" s="74" t="s">
        <v>116</v>
      </c>
      <c r="C386" s="77">
        <v>11352822</v>
      </c>
      <c r="D386" s="71" t="s">
        <v>508</v>
      </c>
      <c r="E386" s="71" t="s">
        <v>482</v>
      </c>
    </row>
    <row r="387" spans="1:5">
      <c r="A387" s="73">
        <v>386</v>
      </c>
      <c r="B387" s="74" t="s">
        <v>116</v>
      </c>
      <c r="C387" s="77">
        <v>11351747</v>
      </c>
      <c r="D387" s="71" t="s">
        <v>509</v>
      </c>
      <c r="E387" s="71" t="s">
        <v>482</v>
      </c>
    </row>
    <row r="388" spans="1:5">
      <c r="A388" s="73">
        <v>387</v>
      </c>
      <c r="B388" s="74" t="s">
        <v>116</v>
      </c>
      <c r="C388" s="77">
        <v>11353442</v>
      </c>
      <c r="D388" s="71" t="s">
        <v>510</v>
      </c>
      <c r="E388" s="71" t="s">
        <v>482</v>
      </c>
    </row>
    <row r="389" spans="1:5">
      <c r="A389" s="73">
        <v>388</v>
      </c>
      <c r="B389" s="74" t="s">
        <v>116</v>
      </c>
      <c r="C389" s="77">
        <v>11350586</v>
      </c>
      <c r="D389" s="71" t="s">
        <v>511</v>
      </c>
      <c r="E389" s="71" t="s">
        <v>482</v>
      </c>
    </row>
    <row r="390" spans="1:5">
      <c r="A390" s="73">
        <v>389</v>
      </c>
      <c r="B390" s="74" t="s">
        <v>116</v>
      </c>
      <c r="C390" s="77">
        <v>11338722</v>
      </c>
      <c r="D390" s="71" t="s">
        <v>512</v>
      </c>
      <c r="E390" s="71" t="s">
        <v>482</v>
      </c>
    </row>
    <row r="391" spans="1:5">
      <c r="A391" s="73">
        <v>390</v>
      </c>
      <c r="B391" s="74" t="s">
        <v>116</v>
      </c>
      <c r="C391" s="77">
        <v>11351226</v>
      </c>
      <c r="D391" s="71" t="s">
        <v>513</v>
      </c>
      <c r="E391" s="71" t="s">
        <v>482</v>
      </c>
    </row>
    <row r="392" spans="1:5">
      <c r="A392" s="73">
        <v>391</v>
      </c>
      <c r="B392" s="74" t="s">
        <v>116</v>
      </c>
      <c r="C392" s="77">
        <v>11333008</v>
      </c>
      <c r="D392" s="71" t="s">
        <v>514</v>
      </c>
      <c r="E392" s="71" t="s">
        <v>482</v>
      </c>
    </row>
    <row r="393" spans="1:5">
      <c r="A393" s="73">
        <v>392</v>
      </c>
      <c r="B393" s="74" t="s">
        <v>116</v>
      </c>
      <c r="C393" s="77">
        <v>11352858</v>
      </c>
      <c r="D393" s="71" t="s">
        <v>515</v>
      </c>
      <c r="E393" s="71" t="s">
        <v>482</v>
      </c>
    </row>
    <row r="394" spans="1:5">
      <c r="A394" s="73">
        <v>393</v>
      </c>
      <c r="B394" s="74" t="s">
        <v>116</v>
      </c>
      <c r="C394" s="77">
        <v>11335272</v>
      </c>
      <c r="D394" s="71" t="s">
        <v>516</v>
      </c>
      <c r="E394" s="71" t="s">
        <v>482</v>
      </c>
    </row>
    <row r="395" spans="1:5">
      <c r="A395" s="73">
        <v>394</v>
      </c>
      <c r="B395" s="74" t="s">
        <v>116</v>
      </c>
      <c r="C395" s="77">
        <v>11350141</v>
      </c>
      <c r="D395" s="71" t="s">
        <v>517</v>
      </c>
      <c r="E395" s="71" t="s">
        <v>482</v>
      </c>
    </row>
    <row r="396" spans="1:5">
      <c r="A396" s="73">
        <v>395</v>
      </c>
      <c r="B396" s="74" t="s">
        <v>116</v>
      </c>
      <c r="C396" s="77">
        <v>11352809</v>
      </c>
      <c r="D396" s="71" t="s">
        <v>518</v>
      </c>
      <c r="E396" s="71" t="s">
        <v>482</v>
      </c>
    </row>
    <row r="397" spans="1:5">
      <c r="A397" s="73">
        <v>396</v>
      </c>
      <c r="B397" s="74" t="s">
        <v>116</v>
      </c>
      <c r="C397" s="77">
        <v>11354207</v>
      </c>
      <c r="D397" s="71" t="s">
        <v>519</v>
      </c>
      <c r="E397" s="71" t="s">
        <v>482</v>
      </c>
    </row>
    <row r="398" spans="1:5">
      <c r="A398" s="73">
        <v>397</v>
      </c>
      <c r="B398" s="74" t="s">
        <v>116</v>
      </c>
      <c r="C398" s="77">
        <v>11351576</v>
      </c>
      <c r="D398" s="71" t="s">
        <v>520</v>
      </c>
      <c r="E398" s="71" t="s">
        <v>482</v>
      </c>
    </row>
    <row r="399" spans="1:5">
      <c r="A399" s="73">
        <v>398</v>
      </c>
      <c r="B399" s="74" t="s">
        <v>116</v>
      </c>
      <c r="C399" s="77">
        <v>11350929</v>
      </c>
      <c r="D399" s="71" t="s">
        <v>521</v>
      </c>
      <c r="E399" s="71" t="s">
        <v>482</v>
      </c>
    </row>
    <row r="400" spans="1:5">
      <c r="A400" s="73">
        <v>399</v>
      </c>
      <c r="B400" s="74" t="s">
        <v>116</v>
      </c>
      <c r="C400" s="77">
        <v>11350647</v>
      </c>
      <c r="D400" s="71" t="s">
        <v>522</v>
      </c>
      <c r="E400" s="71" t="s">
        <v>482</v>
      </c>
    </row>
    <row r="401" spans="1:5">
      <c r="A401" s="73">
        <v>400</v>
      </c>
      <c r="B401" s="74" t="s">
        <v>116</v>
      </c>
      <c r="C401" s="77">
        <v>11335407</v>
      </c>
      <c r="D401" s="71" t="s">
        <v>523</v>
      </c>
      <c r="E401" s="71" t="s">
        <v>482</v>
      </c>
    </row>
    <row r="402" spans="1:5">
      <c r="A402" s="73">
        <v>401</v>
      </c>
      <c r="B402" s="74" t="s">
        <v>116</v>
      </c>
      <c r="C402" s="77">
        <v>11354094</v>
      </c>
      <c r="D402" s="71" t="s">
        <v>524</v>
      </c>
      <c r="E402" s="71" t="s">
        <v>482</v>
      </c>
    </row>
    <row r="403" spans="1:5">
      <c r="A403" s="73">
        <v>402</v>
      </c>
      <c r="B403" s="74" t="s">
        <v>116</v>
      </c>
      <c r="C403" s="77">
        <v>11354889</v>
      </c>
      <c r="D403" s="71" t="s">
        <v>525</v>
      </c>
      <c r="E403" s="71" t="s">
        <v>482</v>
      </c>
    </row>
    <row r="404" spans="1:5">
      <c r="A404" s="73">
        <v>403</v>
      </c>
      <c r="B404" s="74" t="s">
        <v>116</v>
      </c>
      <c r="C404" s="77">
        <v>11353785</v>
      </c>
      <c r="D404" s="71" t="s">
        <v>526</v>
      </c>
      <c r="E404" s="71" t="s">
        <v>482</v>
      </c>
    </row>
    <row r="405" spans="1:5">
      <c r="A405" s="73">
        <v>404</v>
      </c>
      <c r="B405" s="74" t="s">
        <v>116</v>
      </c>
      <c r="C405" s="77">
        <v>11334107</v>
      </c>
      <c r="D405" s="71" t="s">
        <v>527</v>
      </c>
      <c r="E405" s="71" t="s">
        <v>482</v>
      </c>
    </row>
    <row r="406" spans="1:5">
      <c r="A406" s="73">
        <v>405</v>
      </c>
      <c r="B406" s="74" t="s">
        <v>116</v>
      </c>
      <c r="C406" s="77">
        <v>11352831</v>
      </c>
      <c r="D406" s="71" t="s">
        <v>528</v>
      </c>
      <c r="E406" s="71" t="s">
        <v>482</v>
      </c>
    </row>
    <row r="407" spans="1:5">
      <c r="A407" s="73">
        <v>406</v>
      </c>
      <c r="B407" s="74" t="s">
        <v>116</v>
      </c>
      <c r="C407" s="77">
        <v>11335364</v>
      </c>
      <c r="D407" s="71" t="s">
        <v>529</v>
      </c>
      <c r="E407" s="71" t="s">
        <v>482</v>
      </c>
    </row>
    <row r="408" spans="1:5">
      <c r="A408" s="73">
        <v>407</v>
      </c>
      <c r="B408" s="74" t="s">
        <v>116</v>
      </c>
      <c r="C408" s="77">
        <v>11350322</v>
      </c>
      <c r="D408" s="71" t="s">
        <v>530</v>
      </c>
      <c r="E408" s="71" t="s">
        <v>482</v>
      </c>
    </row>
    <row r="409" spans="1:5">
      <c r="A409" s="73">
        <v>408</v>
      </c>
      <c r="B409" s="74" t="s">
        <v>116</v>
      </c>
      <c r="C409" s="77">
        <v>11331769</v>
      </c>
      <c r="D409" s="71" t="s">
        <v>531</v>
      </c>
      <c r="E409" s="71" t="s">
        <v>482</v>
      </c>
    </row>
    <row r="410" spans="1:5">
      <c r="A410" s="73">
        <v>409</v>
      </c>
      <c r="B410" s="74" t="s">
        <v>116</v>
      </c>
      <c r="C410" s="77">
        <v>11332721</v>
      </c>
      <c r="D410" s="71" t="s">
        <v>532</v>
      </c>
      <c r="E410" s="71" t="s">
        <v>482</v>
      </c>
    </row>
    <row r="411" spans="1:5">
      <c r="A411" s="73">
        <v>410</v>
      </c>
      <c r="B411" s="74" t="s">
        <v>116</v>
      </c>
      <c r="C411" s="77">
        <v>11352438</v>
      </c>
      <c r="D411" s="71" t="s">
        <v>533</v>
      </c>
      <c r="E411" s="71" t="s">
        <v>482</v>
      </c>
    </row>
    <row r="412" spans="1:5">
      <c r="A412" s="73">
        <v>411</v>
      </c>
      <c r="B412" s="74" t="s">
        <v>116</v>
      </c>
      <c r="C412" s="77">
        <v>11351570</v>
      </c>
      <c r="D412" s="71" t="s">
        <v>534</v>
      </c>
      <c r="E412" s="71" t="s">
        <v>482</v>
      </c>
    </row>
    <row r="413" spans="1:5">
      <c r="A413" s="73">
        <v>412</v>
      </c>
      <c r="B413" s="74" t="s">
        <v>116</v>
      </c>
      <c r="C413" s="77">
        <v>11354685</v>
      </c>
      <c r="D413" s="71" t="s">
        <v>535</v>
      </c>
      <c r="E413" s="71" t="s">
        <v>482</v>
      </c>
    </row>
    <row r="414" spans="1:5">
      <c r="A414" s="73">
        <v>413</v>
      </c>
      <c r="B414" s="74" t="s">
        <v>116</v>
      </c>
      <c r="C414" s="77">
        <v>11337549</v>
      </c>
      <c r="D414" s="71" t="s">
        <v>536</v>
      </c>
      <c r="E414" s="71" t="s">
        <v>482</v>
      </c>
    </row>
    <row r="415" spans="1:5">
      <c r="A415" s="73">
        <v>414</v>
      </c>
      <c r="B415" s="74" t="s">
        <v>116</v>
      </c>
      <c r="C415" s="77">
        <v>11352543</v>
      </c>
      <c r="D415" s="71" t="s">
        <v>537</v>
      </c>
      <c r="E415" s="71" t="s">
        <v>482</v>
      </c>
    </row>
    <row r="416" spans="1:5">
      <c r="A416" s="73">
        <v>415</v>
      </c>
      <c r="B416" s="74" t="s">
        <v>116</v>
      </c>
      <c r="C416" s="77">
        <v>11350093</v>
      </c>
      <c r="D416" s="71" t="s">
        <v>538</v>
      </c>
      <c r="E416" s="71" t="s">
        <v>482</v>
      </c>
    </row>
    <row r="417" spans="1:5">
      <c r="A417" s="73">
        <v>416</v>
      </c>
      <c r="B417" s="74" t="s">
        <v>116</v>
      </c>
      <c r="C417" s="77">
        <v>11335853</v>
      </c>
      <c r="D417" s="71" t="s">
        <v>539</v>
      </c>
      <c r="E417" s="71" t="s">
        <v>482</v>
      </c>
    </row>
    <row r="418" spans="1:5">
      <c r="A418" s="73">
        <v>417</v>
      </c>
      <c r="B418" s="74" t="s">
        <v>116</v>
      </c>
      <c r="C418" s="77">
        <v>11350419</v>
      </c>
      <c r="D418" s="71" t="s">
        <v>540</v>
      </c>
      <c r="E418" s="71" t="s">
        <v>482</v>
      </c>
    </row>
    <row r="419" spans="1:5">
      <c r="A419" s="73">
        <v>418</v>
      </c>
      <c r="B419" s="74" t="s">
        <v>116</v>
      </c>
      <c r="C419" s="77">
        <v>11353431</v>
      </c>
      <c r="D419" s="71" t="s">
        <v>541</v>
      </c>
      <c r="E419" s="71" t="s">
        <v>482</v>
      </c>
    </row>
    <row r="420" spans="1:5">
      <c r="A420" s="73">
        <v>419</v>
      </c>
      <c r="B420" s="74" t="s">
        <v>116</v>
      </c>
      <c r="C420" s="77">
        <v>11352129</v>
      </c>
      <c r="D420" s="71" t="s">
        <v>542</v>
      </c>
      <c r="E420" s="71" t="s">
        <v>482</v>
      </c>
    </row>
    <row r="421" spans="1:5">
      <c r="A421" s="73">
        <v>420</v>
      </c>
      <c r="B421" s="74" t="s">
        <v>116</v>
      </c>
      <c r="C421" s="77">
        <v>11335809</v>
      </c>
      <c r="D421" s="71" t="s">
        <v>543</v>
      </c>
      <c r="E421" s="71" t="s">
        <v>482</v>
      </c>
    </row>
    <row r="422" spans="1:5">
      <c r="A422" s="73">
        <v>421</v>
      </c>
      <c r="B422" s="74" t="s">
        <v>116</v>
      </c>
      <c r="C422" s="77">
        <v>11352857</v>
      </c>
      <c r="D422" s="71" t="s">
        <v>544</v>
      </c>
      <c r="E422" s="71" t="s">
        <v>545</v>
      </c>
    </row>
    <row r="423" spans="1:5">
      <c r="A423" s="73">
        <v>422</v>
      </c>
      <c r="B423" s="74" t="s">
        <v>116</v>
      </c>
      <c r="C423" s="77">
        <v>11353208</v>
      </c>
      <c r="D423" s="71" t="s">
        <v>546</v>
      </c>
      <c r="E423" s="71" t="s">
        <v>545</v>
      </c>
    </row>
    <row r="424" spans="1:5">
      <c r="A424" s="73">
        <v>423</v>
      </c>
      <c r="B424" s="74" t="s">
        <v>116</v>
      </c>
      <c r="C424" s="77">
        <v>11351774</v>
      </c>
      <c r="D424" s="71" t="s">
        <v>547</v>
      </c>
      <c r="E424" s="71" t="s">
        <v>545</v>
      </c>
    </row>
    <row r="425" spans="1:5">
      <c r="A425" s="73">
        <v>424</v>
      </c>
      <c r="B425" s="74" t="s">
        <v>116</v>
      </c>
      <c r="C425" s="77">
        <v>11332972</v>
      </c>
      <c r="D425" s="71" t="s">
        <v>548</v>
      </c>
      <c r="E425" s="71" t="s">
        <v>545</v>
      </c>
    </row>
    <row r="426" spans="1:5">
      <c r="A426" s="73">
        <v>425</v>
      </c>
      <c r="B426" s="74" t="s">
        <v>116</v>
      </c>
      <c r="C426" s="77">
        <v>11352546</v>
      </c>
      <c r="D426" s="71" t="s">
        <v>549</v>
      </c>
      <c r="E426" s="71" t="s">
        <v>545</v>
      </c>
    </row>
    <row r="427" spans="1:5">
      <c r="A427" s="73">
        <v>426</v>
      </c>
      <c r="B427" s="74" t="s">
        <v>116</v>
      </c>
      <c r="C427" s="77">
        <v>11350693</v>
      </c>
      <c r="D427" s="71" t="s">
        <v>550</v>
      </c>
      <c r="E427" s="71" t="s">
        <v>545</v>
      </c>
    </row>
    <row r="428" spans="1:5">
      <c r="A428" s="73">
        <v>427</v>
      </c>
      <c r="B428" s="74" t="s">
        <v>116</v>
      </c>
      <c r="C428" s="77">
        <v>11353966</v>
      </c>
      <c r="D428" s="71" t="s">
        <v>551</v>
      </c>
      <c r="E428" s="71" t="s">
        <v>545</v>
      </c>
    </row>
    <row r="429" spans="1:5">
      <c r="A429" s="73">
        <v>428</v>
      </c>
      <c r="B429" s="74" t="s">
        <v>116</v>
      </c>
      <c r="C429" s="77">
        <v>11339500</v>
      </c>
      <c r="D429" s="71" t="s">
        <v>552</v>
      </c>
      <c r="E429" s="71" t="s">
        <v>545</v>
      </c>
    </row>
    <row r="430" spans="1:5">
      <c r="A430" s="73">
        <v>429</v>
      </c>
      <c r="B430" s="74" t="s">
        <v>116</v>
      </c>
      <c r="C430" s="77">
        <v>11351886</v>
      </c>
      <c r="D430" s="71" t="s">
        <v>553</v>
      </c>
      <c r="E430" s="71" t="s">
        <v>545</v>
      </c>
    </row>
    <row r="431" spans="1:5">
      <c r="A431" s="73">
        <v>430</v>
      </c>
      <c r="B431" s="74" t="s">
        <v>116</v>
      </c>
      <c r="C431" s="77">
        <v>11353589</v>
      </c>
      <c r="D431" s="71" t="s">
        <v>554</v>
      </c>
      <c r="E431" s="71" t="s">
        <v>545</v>
      </c>
    </row>
    <row r="432" spans="1:5">
      <c r="A432" s="73">
        <v>431</v>
      </c>
      <c r="B432" s="74" t="s">
        <v>116</v>
      </c>
      <c r="C432" s="77">
        <v>11352250</v>
      </c>
      <c r="D432" s="71" t="s">
        <v>555</v>
      </c>
      <c r="E432" s="71" t="s">
        <v>545</v>
      </c>
    </row>
    <row r="433" spans="1:5">
      <c r="A433" s="73">
        <v>432</v>
      </c>
      <c r="B433" s="74" t="s">
        <v>116</v>
      </c>
      <c r="C433" s="77">
        <v>11270580</v>
      </c>
      <c r="D433" s="71" t="s">
        <v>556</v>
      </c>
      <c r="E433" s="71" t="s">
        <v>545</v>
      </c>
    </row>
    <row r="434" spans="1:5">
      <c r="A434" s="73">
        <v>433</v>
      </c>
      <c r="B434" s="74" t="s">
        <v>116</v>
      </c>
      <c r="C434" s="77">
        <v>11352247</v>
      </c>
      <c r="D434" s="71" t="s">
        <v>557</v>
      </c>
      <c r="E434" s="71" t="s">
        <v>545</v>
      </c>
    </row>
    <row r="435" spans="1:5">
      <c r="A435" s="73">
        <v>434</v>
      </c>
      <c r="B435" s="74" t="s">
        <v>116</v>
      </c>
      <c r="C435" s="77">
        <v>11350343</v>
      </c>
      <c r="D435" s="71" t="s">
        <v>558</v>
      </c>
      <c r="E435" s="71" t="s">
        <v>545</v>
      </c>
    </row>
    <row r="436" spans="1:5">
      <c r="A436" s="73">
        <v>435</v>
      </c>
      <c r="B436" s="74" t="s">
        <v>116</v>
      </c>
      <c r="C436" s="77">
        <v>11354219</v>
      </c>
      <c r="D436" s="71" t="s">
        <v>559</v>
      </c>
      <c r="E436" s="71" t="s">
        <v>545</v>
      </c>
    </row>
    <row r="437" spans="1:5">
      <c r="A437" s="73">
        <v>436</v>
      </c>
      <c r="B437" s="74" t="s">
        <v>116</v>
      </c>
      <c r="C437" s="77">
        <v>11351944</v>
      </c>
      <c r="D437" s="71" t="s">
        <v>560</v>
      </c>
      <c r="E437" s="71" t="s">
        <v>545</v>
      </c>
    </row>
    <row r="438" spans="1:5">
      <c r="A438" s="73">
        <v>437</v>
      </c>
      <c r="B438" s="74" t="s">
        <v>116</v>
      </c>
      <c r="C438" s="77">
        <v>11333814</v>
      </c>
      <c r="D438" s="71" t="s">
        <v>561</v>
      </c>
      <c r="E438" s="71" t="s">
        <v>545</v>
      </c>
    </row>
    <row r="439" spans="1:5">
      <c r="A439" s="73">
        <v>438</v>
      </c>
      <c r="B439" s="74" t="s">
        <v>116</v>
      </c>
      <c r="C439" s="77">
        <v>11351426</v>
      </c>
      <c r="D439" s="71" t="s">
        <v>562</v>
      </c>
      <c r="E439" s="71" t="s">
        <v>545</v>
      </c>
    </row>
    <row r="440" spans="1:5">
      <c r="A440" s="73">
        <v>439</v>
      </c>
      <c r="B440" s="74" t="s">
        <v>116</v>
      </c>
      <c r="C440" s="77">
        <v>11336823</v>
      </c>
      <c r="D440" s="71" t="s">
        <v>563</v>
      </c>
      <c r="E440" s="71" t="s">
        <v>545</v>
      </c>
    </row>
    <row r="441" spans="1:5">
      <c r="A441" s="73">
        <v>440</v>
      </c>
      <c r="B441" s="74" t="s">
        <v>116</v>
      </c>
      <c r="C441" s="77">
        <v>11353203</v>
      </c>
      <c r="D441" s="71" t="s">
        <v>564</v>
      </c>
      <c r="E441" s="71" t="s">
        <v>545</v>
      </c>
    </row>
    <row r="442" spans="1:5">
      <c r="A442" s="73">
        <v>441</v>
      </c>
      <c r="B442" s="74" t="s">
        <v>116</v>
      </c>
      <c r="C442" s="77">
        <v>11351868</v>
      </c>
      <c r="D442" s="71" t="s">
        <v>565</v>
      </c>
      <c r="E442" s="71" t="s">
        <v>545</v>
      </c>
    </row>
    <row r="443" spans="1:5">
      <c r="A443" s="73">
        <v>442</v>
      </c>
      <c r="B443" s="74" t="s">
        <v>116</v>
      </c>
      <c r="C443" s="77">
        <v>11333158</v>
      </c>
      <c r="D443" s="71" t="s">
        <v>566</v>
      </c>
      <c r="E443" s="71" t="s">
        <v>545</v>
      </c>
    </row>
    <row r="444" spans="1:5">
      <c r="A444" s="73">
        <v>443</v>
      </c>
      <c r="B444" s="74" t="s">
        <v>116</v>
      </c>
      <c r="C444" s="77">
        <v>11337011</v>
      </c>
      <c r="D444" s="71" t="s">
        <v>567</v>
      </c>
      <c r="E444" s="71" t="s">
        <v>545</v>
      </c>
    </row>
    <row r="445" spans="1:5">
      <c r="A445" s="73">
        <v>444</v>
      </c>
      <c r="B445" s="74" t="s">
        <v>116</v>
      </c>
      <c r="C445" s="77">
        <v>11353574</v>
      </c>
      <c r="D445" s="71" t="s">
        <v>568</v>
      </c>
      <c r="E445" s="71" t="s">
        <v>545</v>
      </c>
    </row>
    <row r="446" spans="1:5">
      <c r="A446" s="73">
        <v>445</v>
      </c>
      <c r="B446" s="74" t="s">
        <v>116</v>
      </c>
      <c r="C446" s="77">
        <v>11354482</v>
      </c>
      <c r="D446" s="71" t="s">
        <v>569</v>
      </c>
      <c r="E446" s="71" t="s">
        <v>545</v>
      </c>
    </row>
    <row r="447" spans="1:5">
      <c r="A447" s="73">
        <v>446</v>
      </c>
      <c r="B447" s="74" t="s">
        <v>116</v>
      </c>
      <c r="C447" s="77">
        <v>11351564</v>
      </c>
      <c r="D447" s="71" t="s">
        <v>570</v>
      </c>
      <c r="E447" s="71" t="s">
        <v>545</v>
      </c>
    </row>
    <row r="448" spans="1:5">
      <c r="A448" s="73">
        <v>447</v>
      </c>
      <c r="B448" s="74" t="s">
        <v>116</v>
      </c>
      <c r="C448" s="77">
        <v>11354447</v>
      </c>
      <c r="D448" s="71" t="s">
        <v>571</v>
      </c>
      <c r="E448" s="71" t="s">
        <v>545</v>
      </c>
    </row>
    <row r="449" spans="1:5">
      <c r="A449" s="73">
        <v>448</v>
      </c>
      <c r="B449" s="74" t="s">
        <v>116</v>
      </c>
      <c r="C449" s="77">
        <v>11333610</v>
      </c>
      <c r="D449" s="71" t="s">
        <v>572</v>
      </c>
      <c r="E449" s="71" t="s">
        <v>545</v>
      </c>
    </row>
    <row r="450" spans="1:5">
      <c r="A450" s="73">
        <v>449</v>
      </c>
      <c r="B450" s="74" t="s">
        <v>116</v>
      </c>
      <c r="C450" s="77">
        <v>11353697</v>
      </c>
      <c r="D450" s="71" t="s">
        <v>573</v>
      </c>
      <c r="E450" s="71" t="s">
        <v>545</v>
      </c>
    </row>
    <row r="451" spans="1:5">
      <c r="A451" s="73">
        <v>450</v>
      </c>
      <c r="B451" s="74" t="s">
        <v>116</v>
      </c>
      <c r="C451" s="77">
        <v>11349673</v>
      </c>
      <c r="D451" s="71" t="s">
        <v>574</v>
      </c>
      <c r="E451" s="71" t="s">
        <v>545</v>
      </c>
    </row>
    <row r="452" spans="1:5">
      <c r="A452" s="73">
        <v>451</v>
      </c>
      <c r="B452" s="74" t="s">
        <v>116</v>
      </c>
      <c r="C452" s="77">
        <v>11334403</v>
      </c>
      <c r="D452" s="71" t="s">
        <v>575</v>
      </c>
      <c r="E452" s="71" t="s">
        <v>545</v>
      </c>
    </row>
    <row r="453" spans="1:5">
      <c r="A453" s="73">
        <v>452</v>
      </c>
      <c r="B453" s="74" t="s">
        <v>116</v>
      </c>
      <c r="C453" s="77">
        <v>11351646</v>
      </c>
      <c r="D453" s="71" t="s">
        <v>576</v>
      </c>
      <c r="E453" s="71" t="s">
        <v>545</v>
      </c>
    </row>
    <row r="454" spans="1:5">
      <c r="A454" s="73">
        <v>453</v>
      </c>
      <c r="B454" s="74" t="s">
        <v>116</v>
      </c>
      <c r="C454" s="77">
        <v>11353793</v>
      </c>
      <c r="D454" s="71" t="s">
        <v>577</v>
      </c>
      <c r="E454" s="71" t="s">
        <v>545</v>
      </c>
    </row>
    <row r="455" spans="1:5">
      <c r="A455" s="73">
        <v>454</v>
      </c>
      <c r="B455" s="74" t="s">
        <v>116</v>
      </c>
      <c r="C455" s="77">
        <v>11347496</v>
      </c>
      <c r="D455" s="71" t="s">
        <v>578</v>
      </c>
      <c r="E455" s="71" t="s">
        <v>545</v>
      </c>
    </row>
    <row r="456" spans="1:5">
      <c r="A456" s="73">
        <v>455</v>
      </c>
      <c r="B456" s="74" t="s">
        <v>116</v>
      </c>
      <c r="C456" s="77">
        <v>11352864</v>
      </c>
      <c r="D456" s="71" t="s">
        <v>579</v>
      </c>
      <c r="E456" s="71" t="s">
        <v>545</v>
      </c>
    </row>
    <row r="457" spans="1:5">
      <c r="A457" s="73">
        <v>456</v>
      </c>
      <c r="B457" s="74" t="s">
        <v>116</v>
      </c>
      <c r="C457" s="77">
        <v>11347423</v>
      </c>
      <c r="D457" s="71" t="s">
        <v>580</v>
      </c>
      <c r="E457" s="71" t="s">
        <v>545</v>
      </c>
    </row>
    <row r="458" spans="1:5">
      <c r="A458" s="73">
        <v>457</v>
      </c>
      <c r="B458" s="74" t="s">
        <v>116</v>
      </c>
      <c r="C458" s="77">
        <v>11335553</v>
      </c>
      <c r="D458" s="71" t="s">
        <v>581</v>
      </c>
      <c r="E458" s="71" t="s">
        <v>545</v>
      </c>
    </row>
    <row r="459" spans="1:5">
      <c r="A459" s="73">
        <v>458</v>
      </c>
      <c r="B459" s="74" t="s">
        <v>116</v>
      </c>
      <c r="C459" s="77">
        <v>11328251</v>
      </c>
      <c r="D459" s="71" t="s">
        <v>582</v>
      </c>
      <c r="E459" s="71" t="s">
        <v>545</v>
      </c>
    </row>
    <row r="460" spans="1:5">
      <c r="A460" s="73">
        <v>459</v>
      </c>
      <c r="B460" s="74" t="s">
        <v>116</v>
      </c>
      <c r="C460" s="77">
        <v>11351403</v>
      </c>
      <c r="D460" s="71" t="s">
        <v>583</v>
      </c>
      <c r="E460" s="71" t="s">
        <v>545</v>
      </c>
    </row>
    <row r="461" spans="1:5">
      <c r="A461" s="73">
        <v>460</v>
      </c>
      <c r="B461" s="74" t="s">
        <v>116</v>
      </c>
      <c r="C461" s="77">
        <v>11350051</v>
      </c>
      <c r="D461" s="71" t="s">
        <v>584</v>
      </c>
      <c r="E461" s="71" t="s">
        <v>545</v>
      </c>
    </row>
    <row r="462" spans="1:5">
      <c r="A462" s="73">
        <v>461</v>
      </c>
      <c r="B462" s="74" t="s">
        <v>116</v>
      </c>
      <c r="C462" s="77">
        <v>11351776</v>
      </c>
      <c r="D462" s="71" t="s">
        <v>585</v>
      </c>
      <c r="E462" s="71" t="s">
        <v>545</v>
      </c>
    </row>
    <row r="463" spans="1:5">
      <c r="A463" s="73">
        <v>462</v>
      </c>
      <c r="B463" s="74" t="s">
        <v>116</v>
      </c>
      <c r="C463" s="77">
        <v>11288300</v>
      </c>
      <c r="D463" s="71" t="s">
        <v>586</v>
      </c>
      <c r="E463" s="71" t="s">
        <v>545</v>
      </c>
    </row>
    <row r="464" spans="1:5">
      <c r="A464" s="73">
        <v>463</v>
      </c>
      <c r="B464" s="74" t="s">
        <v>116</v>
      </c>
      <c r="C464" s="77">
        <v>11350892</v>
      </c>
      <c r="D464" s="71" t="s">
        <v>587</v>
      </c>
      <c r="E464" s="71" t="s">
        <v>545</v>
      </c>
    </row>
    <row r="465" spans="1:5">
      <c r="A465" s="73">
        <v>464</v>
      </c>
      <c r="B465" s="74" t="s">
        <v>116</v>
      </c>
      <c r="C465" s="77">
        <v>11352709</v>
      </c>
      <c r="D465" s="71" t="s">
        <v>588</v>
      </c>
      <c r="E465" s="71" t="s">
        <v>545</v>
      </c>
    </row>
    <row r="466" spans="1:5">
      <c r="A466" s="73">
        <v>465</v>
      </c>
      <c r="B466" s="74" t="s">
        <v>116</v>
      </c>
      <c r="C466" s="77">
        <v>11333268</v>
      </c>
      <c r="D466" s="71" t="s">
        <v>589</v>
      </c>
      <c r="E466" s="71" t="s">
        <v>545</v>
      </c>
    </row>
    <row r="467" spans="1:5">
      <c r="A467" s="73">
        <v>466</v>
      </c>
      <c r="B467" s="74" t="s">
        <v>116</v>
      </c>
      <c r="C467" s="77">
        <v>11353780</v>
      </c>
      <c r="D467" s="71" t="s">
        <v>590</v>
      </c>
      <c r="E467" s="71" t="s">
        <v>545</v>
      </c>
    </row>
    <row r="468" spans="1:5">
      <c r="A468" s="73">
        <v>467</v>
      </c>
      <c r="B468" s="74" t="s">
        <v>116</v>
      </c>
      <c r="C468" s="77">
        <v>11338472</v>
      </c>
      <c r="D468" s="71" t="s">
        <v>591</v>
      </c>
      <c r="E468" s="71" t="s">
        <v>545</v>
      </c>
    </row>
    <row r="469" spans="1:5">
      <c r="A469" s="73">
        <v>468</v>
      </c>
      <c r="B469" s="74" t="s">
        <v>116</v>
      </c>
      <c r="C469" s="77">
        <v>11306446</v>
      </c>
      <c r="D469" s="71" t="s">
        <v>592</v>
      </c>
      <c r="E469" s="71" t="s">
        <v>545</v>
      </c>
    </row>
    <row r="470" spans="1:5">
      <c r="A470" s="73">
        <v>469</v>
      </c>
      <c r="B470" s="74" t="s">
        <v>116</v>
      </c>
      <c r="C470" s="77">
        <v>11354752</v>
      </c>
      <c r="D470" s="71" t="s">
        <v>593</v>
      </c>
      <c r="E470" s="71" t="s">
        <v>545</v>
      </c>
    </row>
    <row r="471" spans="1:5">
      <c r="A471" s="73">
        <v>470</v>
      </c>
      <c r="B471" s="74" t="s">
        <v>116</v>
      </c>
      <c r="C471" s="77">
        <v>11354012</v>
      </c>
      <c r="D471" s="71" t="s">
        <v>594</v>
      </c>
      <c r="E471" s="71" t="s">
        <v>545</v>
      </c>
    </row>
    <row r="472" spans="1:5">
      <c r="A472" s="73">
        <v>471</v>
      </c>
      <c r="B472" s="74" t="s">
        <v>116</v>
      </c>
      <c r="C472" s="77">
        <v>11351389</v>
      </c>
      <c r="D472" s="71" t="s">
        <v>595</v>
      </c>
      <c r="E472" s="71" t="s">
        <v>545</v>
      </c>
    </row>
    <row r="473" spans="1:5">
      <c r="A473" s="73">
        <v>472</v>
      </c>
      <c r="B473" s="74" t="s">
        <v>116</v>
      </c>
      <c r="C473" s="77">
        <v>11350428</v>
      </c>
      <c r="D473" s="71" t="s">
        <v>596</v>
      </c>
      <c r="E473" s="71" t="s">
        <v>545</v>
      </c>
    </row>
    <row r="474" spans="1:5">
      <c r="A474" s="73">
        <v>473</v>
      </c>
      <c r="B474" s="74" t="s">
        <v>116</v>
      </c>
      <c r="C474" s="77">
        <v>11335964</v>
      </c>
      <c r="D474" s="71" t="s">
        <v>597</v>
      </c>
      <c r="E474" s="71" t="s">
        <v>545</v>
      </c>
    </row>
    <row r="475" spans="1:5">
      <c r="A475" s="73">
        <v>474</v>
      </c>
      <c r="B475" s="74" t="s">
        <v>116</v>
      </c>
      <c r="C475" s="77">
        <v>11353091</v>
      </c>
      <c r="D475" s="71" t="s">
        <v>598</v>
      </c>
      <c r="E475" s="71" t="s">
        <v>545</v>
      </c>
    </row>
    <row r="476" spans="1:5">
      <c r="A476" s="73">
        <v>475</v>
      </c>
      <c r="B476" s="74" t="s">
        <v>116</v>
      </c>
      <c r="C476" s="77">
        <v>11354686</v>
      </c>
      <c r="D476" s="71" t="s">
        <v>599</v>
      </c>
      <c r="E476" s="71" t="s">
        <v>545</v>
      </c>
    </row>
    <row r="477" spans="1:5">
      <c r="A477" s="73">
        <v>476</v>
      </c>
      <c r="B477" s="74" t="s">
        <v>116</v>
      </c>
      <c r="C477" s="77">
        <v>11352131</v>
      </c>
      <c r="D477" s="71" t="s">
        <v>600</v>
      </c>
      <c r="E477" s="71" t="s">
        <v>545</v>
      </c>
    </row>
    <row r="478" spans="1:5">
      <c r="A478" s="73">
        <v>477</v>
      </c>
      <c r="B478" s="74" t="s">
        <v>116</v>
      </c>
      <c r="C478" s="77">
        <v>11337083</v>
      </c>
      <c r="D478" s="71" t="s">
        <v>601</v>
      </c>
      <c r="E478" s="71" t="s">
        <v>545</v>
      </c>
    </row>
    <row r="479" spans="1:5">
      <c r="A479" s="73">
        <v>478</v>
      </c>
      <c r="B479" s="74" t="s">
        <v>116</v>
      </c>
      <c r="C479" s="77">
        <v>11353607</v>
      </c>
      <c r="D479" s="71" t="s">
        <v>602</v>
      </c>
      <c r="E479" s="71" t="s">
        <v>545</v>
      </c>
    </row>
    <row r="480" spans="1:5">
      <c r="A480" s="73">
        <v>479</v>
      </c>
      <c r="B480" s="74" t="s">
        <v>116</v>
      </c>
      <c r="C480" s="77">
        <v>11352395</v>
      </c>
      <c r="D480" s="71" t="s">
        <v>603</v>
      </c>
      <c r="E480" s="71" t="s">
        <v>545</v>
      </c>
    </row>
    <row r="481" spans="1:5">
      <c r="A481" s="73">
        <v>480</v>
      </c>
      <c r="B481" s="74" t="s">
        <v>116</v>
      </c>
      <c r="C481" s="77">
        <v>11353798</v>
      </c>
      <c r="D481" s="71" t="s">
        <v>604</v>
      </c>
      <c r="E481" s="71" t="s">
        <v>545</v>
      </c>
    </row>
    <row r="482" spans="1:5">
      <c r="A482" s="73">
        <v>481</v>
      </c>
      <c r="B482" s="74" t="s">
        <v>116</v>
      </c>
      <c r="C482" s="77">
        <v>11353894</v>
      </c>
      <c r="D482" s="71" t="s">
        <v>605</v>
      </c>
      <c r="E482" s="71" t="s">
        <v>545</v>
      </c>
    </row>
    <row r="483" spans="1:5">
      <c r="A483" s="73">
        <v>482</v>
      </c>
      <c r="B483" s="74" t="s">
        <v>116</v>
      </c>
      <c r="C483" s="77">
        <v>11317258</v>
      </c>
      <c r="D483" s="71" t="s">
        <v>606</v>
      </c>
      <c r="E483" s="71" t="s">
        <v>545</v>
      </c>
    </row>
    <row r="484" spans="1:5">
      <c r="A484" s="73">
        <v>483</v>
      </c>
      <c r="B484" s="74" t="s">
        <v>116</v>
      </c>
      <c r="C484" s="77">
        <v>11351801</v>
      </c>
      <c r="D484" s="71" t="s">
        <v>607</v>
      </c>
      <c r="E484" s="71" t="s">
        <v>545</v>
      </c>
    </row>
    <row r="485" spans="1:5">
      <c r="A485" s="73">
        <v>484</v>
      </c>
      <c r="B485" s="74" t="s">
        <v>116</v>
      </c>
      <c r="C485" s="77">
        <v>11351006</v>
      </c>
      <c r="D485" s="71" t="s">
        <v>608</v>
      </c>
      <c r="E485" s="71" t="s">
        <v>545</v>
      </c>
    </row>
    <row r="486" spans="1:5">
      <c r="A486" s="73">
        <v>485</v>
      </c>
      <c r="B486" s="74" t="s">
        <v>116</v>
      </c>
      <c r="C486" s="77">
        <v>11351310</v>
      </c>
      <c r="D486" s="71" t="s">
        <v>609</v>
      </c>
      <c r="E486" s="71" t="s">
        <v>545</v>
      </c>
    </row>
    <row r="487" spans="1:5">
      <c r="A487" s="73">
        <v>486</v>
      </c>
      <c r="B487" s="74" t="s">
        <v>116</v>
      </c>
      <c r="C487" s="77">
        <v>11350903</v>
      </c>
      <c r="D487" s="71" t="s">
        <v>610</v>
      </c>
      <c r="E487" s="71" t="s">
        <v>545</v>
      </c>
    </row>
    <row r="488" spans="1:5">
      <c r="A488" s="73">
        <v>487</v>
      </c>
      <c r="B488" s="74" t="s">
        <v>116</v>
      </c>
      <c r="C488" s="77">
        <v>11353878</v>
      </c>
      <c r="D488" s="71" t="s">
        <v>611</v>
      </c>
      <c r="E488" s="71" t="s">
        <v>612</v>
      </c>
    </row>
    <row r="489" spans="1:5">
      <c r="A489" s="73">
        <v>488</v>
      </c>
      <c r="B489" s="74" t="s">
        <v>116</v>
      </c>
      <c r="C489" s="77">
        <v>11333919</v>
      </c>
      <c r="D489" s="71" t="s">
        <v>613</v>
      </c>
      <c r="E489" s="71" t="s">
        <v>612</v>
      </c>
    </row>
    <row r="490" spans="1:5">
      <c r="A490" s="73">
        <v>489</v>
      </c>
      <c r="B490" s="74" t="s">
        <v>116</v>
      </c>
      <c r="C490" s="77">
        <v>11349670</v>
      </c>
      <c r="D490" s="71" t="s">
        <v>614</v>
      </c>
      <c r="E490" s="71" t="s">
        <v>612</v>
      </c>
    </row>
    <row r="491" spans="1:5">
      <c r="A491" s="73">
        <v>490</v>
      </c>
      <c r="B491" s="74" t="s">
        <v>116</v>
      </c>
      <c r="C491" s="77">
        <v>11351211</v>
      </c>
      <c r="D491" s="71" t="s">
        <v>615</v>
      </c>
      <c r="E491" s="71" t="s">
        <v>612</v>
      </c>
    </row>
    <row r="492" spans="1:5">
      <c r="A492" s="73">
        <v>491</v>
      </c>
      <c r="B492" s="74" t="s">
        <v>116</v>
      </c>
      <c r="C492" s="77">
        <v>11353990</v>
      </c>
      <c r="D492" s="71" t="s">
        <v>616</v>
      </c>
      <c r="E492" s="71" t="s">
        <v>612</v>
      </c>
    </row>
    <row r="493" spans="1:5">
      <c r="A493" s="73">
        <v>492</v>
      </c>
      <c r="B493" s="74" t="s">
        <v>116</v>
      </c>
      <c r="C493" s="77">
        <v>11344869</v>
      </c>
      <c r="D493" s="71" t="s">
        <v>617</v>
      </c>
      <c r="E493" s="71" t="s">
        <v>612</v>
      </c>
    </row>
    <row r="494" spans="1:5">
      <c r="A494" s="73">
        <v>493</v>
      </c>
      <c r="B494" s="74" t="s">
        <v>116</v>
      </c>
      <c r="C494" s="77">
        <v>11351131</v>
      </c>
      <c r="D494" s="71" t="s">
        <v>618</v>
      </c>
      <c r="E494" s="71" t="s">
        <v>612</v>
      </c>
    </row>
    <row r="495" spans="1:5">
      <c r="A495" s="73">
        <v>494</v>
      </c>
      <c r="B495" s="74" t="s">
        <v>116</v>
      </c>
      <c r="C495" s="77">
        <v>11354214</v>
      </c>
      <c r="D495" s="71" t="s">
        <v>619</v>
      </c>
      <c r="E495" s="71" t="s">
        <v>612</v>
      </c>
    </row>
    <row r="496" spans="1:5">
      <c r="A496" s="73">
        <v>495</v>
      </c>
      <c r="B496" s="74" t="s">
        <v>116</v>
      </c>
      <c r="C496" s="77">
        <v>11354329</v>
      </c>
      <c r="D496" s="71" t="s">
        <v>620</v>
      </c>
      <c r="E496" s="71" t="s">
        <v>612</v>
      </c>
    </row>
    <row r="497" spans="1:5">
      <c r="A497" s="73">
        <v>496</v>
      </c>
      <c r="B497" s="74" t="s">
        <v>116</v>
      </c>
      <c r="C497" s="77">
        <v>11353833</v>
      </c>
      <c r="D497" s="71" t="s">
        <v>621</v>
      </c>
      <c r="E497" s="71" t="s">
        <v>612</v>
      </c>
    </row>
    <row r="498" spans="1:5">
      <c r="A498" s="73">
        <v>497</v>
      </c>
      <c r="B498" s="74" t="s">
        <v>116</v>
      </c>
      <c r="C498" s="77">
        <v>11354531</v>
      </c>
      <c r="D498" s="71" t="s">
        <v>622</v>
      </c>
      <c r="E498" s="71" t="s">
        <v>612</v>
      </c>
    </row>
    <row r="499" spans="1:5">
      <c r="A499" s="73">
        <v>498</v>
      </c>
      <c r="B499" s="74" t="s">
        <v>116</v>
      </c>
      <c r="C499" s="77">
        <v>11330984</v>
      </c>
      <c r="D499" s="71" t="s">
        <v>623</v>
      </c>
      <c r="E499" s="71" t="s">
        <v>612</v>
      </c>
    </row>
    <row r="500" spans="1:5">
      <c r="A500" s="73">
        <v>499</v>
      </c>
      <c r="B500" s="74" t="s">
        <v>116</v>
      </c>
      <c r="C500" s="77">
        <v>11352100</v>
      </c>
      <c r="D500" s="71" t="s">
        <v>624</v>
      </c>
      <c r="E500" s="71" t="s">
        <v>612</v>
      </c>
    </row>
    <row r="501" spans="1:5">
      <c r="A501" s="73">
        <v>500</v>
      </c>
      <c r="B501" s="74" t="s">
        <v>116</v>
      </c>
      <c r="C501" s="77">
        <v>11354192</v>
      </c>
      <c r="D501" s="71" t="s">
        <v>625</v>
      </c>
      <c r="E501" s="71" t="s">
        <v>612</v>
      </c>
    </row>
    <row r="502" spans="1:5">
      <c r="A502" s="73">
        <v>501</v>
      </c>
      <c r="B502" s="74" t="s">
        <v>116</v>
      </c>
      <c r="C502" s="77">
        <v>11353596</v>
      </c>
      <c r="D502" s="71" t="s">
        <v>626</v>
      </c>
      <c r="E502" s="71" t="s">
        <v>612</v>
      </c>
    </row>
    <row r="503" spans="1:5">
      <c r="A503" s="73">
        <v>502</v>
      </c>
      <c r="B503" s="74" t="s">
        <v>116</v>
      </c>
      <c r="C503" s="77">
        <v>11354904</v>
      </c>
      <c r="D503" s="71" t="s">
        <v>627</v>
      </c>
      <c r="E503" s="71" t="s">
        <v>612</v>
      </c>
    </row>
    <row r="504" spans="1:5">
      <c r="A504" s="73">
        <v>503</v>
      </c>
      <c r="B504" s="74" t="s">
        <v>116</v>
      </c>
      <c r="C504" s="77">
        <v>11354318</v>
      </c>
      <c r="D504" s="71" t="s">
        <v>628</v>
      </c>
      <c r="E504" s="71" t="s">
        <v>612</v>
      </c>
    </row>
    <row r="505" spans="1:5">
      <c r="A505" s="73">
        <v>504</v>
      </c>
      <c r="B505" s="74" t="s">
        <v>116</v>
      </c>
      <c r="C505" s="77">
        <v>11335805</v>
      </c>
      <c r="D505" s="71" t="s">
        <v>629</v>
      </c>
      <c r="E505" s="71" t="s">
        <v>612</v>
      </c>
    </row>
    <row r="506" spans="1:5">
      <c r="A506" s="73">
        <v>505</v>
      </c>
      <c r="B506" s="74" t="s">
        <v>116</v>
      </c>
      <c r="C506" s="77">
        <v>11351003</v>
      </c>
      <c r="D506" s="71" t="s">
        <v>630</v>
      </c>
      <c r="E506" s="71" t="s">
        <v>612</v>
      </c>
    </row>
    <row r="507" spans="1:5">
      <c r="A507" s="73">
        <v>506</v>
      </c>
      <c r="B507" s="74" t="s">
        <v>116</v>
      </c>
      <c r="C507" s="77">
        <v>11354424</v>
      </c>
      <c r="D507" s="71" t="s">
        <v>631</v>
      </c>
      <c r="E507" s="71" t="s">
        <v>612</v>
      </c>
    </row>
    <row r="508" spans="1:5">
      <c r="A508" s="73">
        <v>507</v>
      </c>
      <c r="B508" s="74" t="s">
        <v>116</v>
      </c>
      <c r="C508" s="77">
        <v>11353035</v>
      </c>
      <c r="D508" s="71" t="s">
        <v>632</v>
      </c>
      <c r="E508" s="71" t="s">
        <v>612</v>
      </c>
    </row>
    <row r="509" spans="1:5">
      <c r="A509" s="73">
        <v>508</v>
      </c>
      <c r="B509" s="74" t="s">
        <v>116</v>
      </c>
      <c r="C509" s="77">
        <v>11338701</v>
      </c>
      <c r="D509" s="71" t="s">
        <v>633</v>
      </c>
      <c r="E509" s="71" t="s">
        <v>612</v>
      </c>
    </row>
    <row r="510" spans="1:5">
      <c r="A510" s="73">
        <v>509</v>
      </c>
      <c r="B510" s="74" t="s">
        <v>116</v>
      </c>
      <c r="C510" s="77">
        <v>11336576</v>
      </c>
      <c r="D510" s="71" t="s">
        <v>634</v>
      </c>
      <c r="E510" s="71" t="s">
        <v>612</v>
      </c>
    </row>
    <row r="511" spans="1:5">
      <c r="A511" s="73">
        <v>510</v>
      </c>
      <c r="B511" s="74" t="s">
        <v>116</v>
      </c>
      <c r="C511" s="77">
        <v>11353782</v>
      </c>
      <c r="D511" s="71" t="s">
        <v>635</v>
      </c>
      <c r="E511" s="71" t="s">
        <v>612</v>
      </c>
    </row>
    <row r="512" spans="1:5">
      <c r="A512" s="73">
        <v>511</v>
      </c>
      <c r="B512" s="74" t="s">
        <v>116</v>
      </c>
      <c r="C512" s="77">
        <v>11333550</v>
      </c>
      <c r="D512" s="71" t="s">
        <v>636</v>
      </c>
      <c r="E512" s="71" t="s">
        <v>612</v>
      </c>
    </row>
    <row r="513" spans="1:5">
      <c r="A513" s="73">
        <v>512</v>
      </c>
      <c r="B513" s="74" t="s">
        <v>116</v>
      </c>
      <c r="C513" s="77">
        <v>11334875</v>
      </c>
      <c r="D513" s="71" t="s">
        <v>637</v>
      </c>
      <c r="E513" s="71" t="s">
        <v>612</v>
      </c>
    </row>
    <row r="514" spans="1:5">
      <c r="A514" s="73">
        <v>513</v>
      </c>
      <c r="B514" s="74" t="s">
        <v>116</v>
      </c>
      <c r="C514" s="77">
        <v>11354624</v>
      </c>
      <c r="D514" s="71" t="s">
        <v>638</v>
      </c>
      <c r="E514" s="71" t="s">
        <v>612</v>
      </c>
    </row>
    <row r="515" spans="1:5">
      <c r="A515" s="73">
        <v>514</v>
      </c>
      <c r="B515" s="74" t="s">
        <v>116</v>
      </c>
      <c r="C515" s="77">
        <v>11331953</v>
      </c>
      <c r="D515" s="71" t="s">
        <v>639</v>
      </c>
      <c r="E515" s="71" t="s">
        <v>612</v>
      </c>
    </row>
    <row r="516" spans="1:5">
      <c r="A516" s="73">
        <v>515</v>
      </c>
      <c r="B516" s="74" t="s">
        <v>116</v>
      </c>
      <c r="C516" s="77">
        <v>11353587</v>
      </c>
      <c r="D516" s="71" t="s">
        <v>640</v>
      </c>
      <c r="E516" s="71" t="s">
        <v>612</v>
      </c>
    </row>
    <row r="517" spans="1:5">
      <c r="A517" s="73">
        <v>516</v>
      </c>
      <c r="B517" s="74" t="s">
        <v>116</v>
      </c>
      <c r="C517" s="77">
        <v>11354231</v>
      </c>
      <c r="D517" s="71" t="s">
        <v>641</v>
      </c>
      <c r="E517" s="71" t="s">
        <v>612</v>
      </c>
    </row>
    <row r="518" spans="1:5">
      <c r="A518" s="73">
        <v>517</v>
      </c>
      <c r="B518" s="74" t="s">
        <v>116</v>
      </c>
      <c r="C518" s="77">
        <v>11353831</v>
      </c>
      <c r="D518" s="71" t="s">
        <v>642</v>
      </c>
      <c r="E518" s="71" t="s">
        <v>612</v>
      </c>
    </row>
    <row r="519" spans="1:5">
      <c r="A519" s="73">
        <v>518</v>
      </c>
      <c r="B519" s="74" t="s">
        <v>116</v>
      </c>
      <c r="C519" s="77">
        <v>11351082</v>
      </c>
      <c r="D519" s="71" t="s">
        <v>643</v>
      </c>
      <c r="E519" s="71" t="s">
        <v>612</v>
      </c>
    </row>
    <row r="520" spans="1:5">
      <c r="A520" s="73">
        <v>519</v>
      </c>
      <c r="B520" s="74" t="s">
        <v>116</v>
      </c>
      <c r="C520" s="77">
        <v>11354344</v>
      </c>
      <c r="D520" s="71" t="s">
        <v>644</v>
      </c>
      <c r="E520" s="71" t="s">
        <v>612</v>
      </c>
    </row>
    <row r="521" spans="1:5">
      <c r="A521" s="73">
        <v>520</v>
      </c>
      <c r="B521" s="74" t="s">
        <v>116</v>
      </c>
      <c r="C521" s="77">
        <v>11354409</v>
      </c>
      <c r="D521" s="71" t="s">
        <v>645</v>
      </c>
      <c r="E521" s="71" t="s">
        <v>612</v>
      </c>
    </row>
    <row r="522" spans="1:5">
      <c r="A522" s="73">
        <v>521</v>
      </c>
      <c r="B522" s="74" t="s">
        <v>116</v>
      </c>
      <c r="C522" s="77">
        <v>11332136</v>
      </c>
      <c r="D522" s="71" t="s">
        <v>646</v>
      </c>
      <c r="E522" s="71" t="s">
        <v>612</v>
      </c>
    </row>
    <row r="523" spans="1:5">
      <c r="A523" s="73">
        <v>522</v>
      </c>
      <c r="B523" s="74" t="s">
        <v>116</v>
      </c>
      <c r="C523" s="77">
        <v>11354299</v>
      </c>
      <c r="D523" s="71" t="s">
        <v>647</v>
      </c>
      <c r="E523" s="71" t="s">
        <v>612</v>
      </c>
    </row>
    <row r="524" spans="1:5">
      <c r="A524" s="73">
        <v>523</v>
      </c>
      <c r="B524" s="74" t="s">
        <v>116</v>
      </c>
      <c r="C524" s="77">
        <v>11353996</v>
      </c>
      <c r="D524" s="71" t="s">
        <v>648</v>
      </c>
      <c r="E524" s="71" t="s">
        <v>612</v>
      </c>
    </row>
    <row r="525" spans="1:5">
      <c r="A525" s="73">
        <v>524</v>
      </c>
      <c r="B525" s="74" t="s">
        <v>116</v>
      </c>
      <c r="C525" s="77">
        <v>11354285</v>
      </c>
      <c r="D525" s="71" t="s">
        <v>649</v>
      </c>
      <c r="E525" s="71" t="s">
        <v>612</v>
      </c>
    </row>
    <row r="526" spans="1:5">
      <c r="A526" s="73">
        <v>525</v>
      </c>
      <c r="B526" s="74" t="s">
        <v>116</v>
      </c>
      <c r="C526" s="77">
        <v>11334000</v>
      </c>
      <c r="D526" s="71" t="s">
        <v>650</v>
      </c>
      <c r="E526" s="71" t="s">
        <v>612</v>
      </c>
    </row>
    <row r="527" spans="1:5">
      <c r="A527" s="73">
        <v>526</v>
      </c>
      <c r="B527" s="74" t="s">
        <v>116</v>
      </c>
      <c r="C527" s="77">
        <v>11354093</v>
      </c>
      <c r="D527" s="71" t="s">
        <v>651</v>
      </c>
      <c r="E527" s="71" t="s">
        <v>612</v>
      </c>
    </row>
    <row r="528" spans="1:5">
      <c r="A528" s="73">
        <v>527</v>
      </c>
      <c r="B528" s="74" t="s">
        <v>116</v>
      </c>
      <c r="C528" s="77">
        <v>11353706</v>
      </c>
      <c r="D528" s="71" t="s">
        <v>652</v>
      </c>
      <c r="E528" s="71" t="s">
        <v>612</v>
      </c>
    </row>
    <row r="529" spans="1:5">
      <c r="A529" s="73">
        <v>528</v>
      </c>
      <c r="B529" s="74" t="s">
        <v>116</v>
      </c>
      <c r="C529" s="77">
        <v>11337013</v>
      </c>
      <c r="D529" s="71" t="s">
        <v>653</v>
      </c>
      <c r="E529" s="71" t="s">
        <v>612</v>
      </c>
    </row>
    <row r="530" spans="1:5">
      <c r="A530" s="73">
        <v>529</v>
      </c>
      <c r="B530" s="74" t="s">
        <v>116</v>
      </c>
      <c r="C530" s="77">
        <v>11333543</v>
      </c>
      <c r="D530" s="71" t="s">
        <v>654</v>
      </c>
      <c r="E530" s="71" t="s">
        <v>612</v>
      </c>
    </row>
    <row r="531" spans="1:5">
      <c r="A531" s="73">
        <v>530</v>
      </c>
      <c r="B531" s="74" t="s">
        <v>116</v>
      </c>
      <c r="C531" s="77">
        <v>11336706</v>
      </c>
      <c r="D531" s="71" t="s">
        <v>655</v>
      </c>
      <c r="E531" s="71" t="s">
        <v>612</v>
      </c>
    </row>
    <row r="532" spans="1:5">
      <c r="A532" s="73">
        <v>531</v>
      </c>
      <c r="B532" s="74" t="s">
        <v>116</v>
      </c>
      <c r="C532" s="77">
        <v>11353904</v>
      </c>
      <c r="D532" s="71" t="s">
        <v>656</v>
      </c>
      <c r="E532" s="71" t="s">
        <v>612</v>
      </c>
    </row>
    <row r="533" spans="1:5">
      <c r="A533" s="73">
        <v>532</v>
      </c>
      <c r="B533" s="74" t="s">
        <v>116</v>
      </c>
      <c r="C533" s="77">
        <v>11335919</v>
      </c>
      <c r="D533" s="71" t="s">
        <v>657</v>
      </c>
      <c r="E533" s="71" t="s">
        <v>612</v>
      </c>
    </row>
    <row r="534" spans="1:5">
      <c r="A534" s="73">
        <v>533</v>
      </c>
      <c r="B534" s="74" t="s">
        <v>116</v>
      </c>
      <c r="C534" s="77">
        <v>11334345</v>
      </c>
      <c r="D534" s="71" t="s">
        <v>658</v>
      </c>
      <c r="E534" s="71" t="s">
        <v>612</v>
      </c>
    </row>
    <row r="535" spans="1:5">
      <c r="A535" s="73">
        <v>534</v>
      </c>
      <c r="B535" s="74" t="s">
        <v>116</v>
      </c>
      <c r="C535" s="77">
        <v>11337032</v>
      </c>
      <c r="D535" s="71" t="s">
        <v>659</v>
      </c>
      <c r="E535" s="71" t="s">
        <v>612</v>
      </c>
    </row>
    <row r="536" spans="1:5">
      <c r="A536" s="73">
        <v>535</v>
      </c>
      <c r="B536" s="74" t="s">
        <v>116</v>
      </c>
      <c r="C536" s="77">
        <v>11350090</v>
      </c>
      <c r="D536" s="71" t="s">
        <v>660</v>
      </c>
      <c r="E536" s="71" t="s">
        <v>612</v>
      </c>
    </row>
    <row r="537" spans="1:5">
      <c r="A537" s="73">
        <v>536</v>
      </c>
      <c r="B537" s="74" t="s">
        <v>116</v>
      </c>
      <c r="C537" s="77">
        <v>11333359</v>
      </c>
      <c r="D537" s="71" t="s">
        <v>661</v>
      </c>
      <c r="E537" s="71" t="s">
        <v>612</v>
      </c>
    </row>
    <row r="538" spans="1:5">
      <c r="A538" s="73">
        <v>537</v>
      </c>
      <c r="B538" s="74" t="s">
        <v>116</v>
      </c>
      <c r="C538" s="77">
        <v>11354198</v>
      </c>
      <c r="D538" s="71" t="s">
        <v>662</v>
      </c>
      <c r="E538" s="71" t="s">
        <v>612</v>
      </c>
    </row>
    <row r="539" spans="1:5">
      <c r="A539" s="73">
        <v>538</v>
      </c>
      <c r="B539" s="74" t="s">
        <v>116</v>
      </c>
      <c r="C539" s="77">
        <v>11351311</v>
      </c>
      <c r="D539" s="71" t="s">
        <v>663</v>
      </c>
      <c r="E539" s="71" t="s">
        <v>612</v>
      </c>
    </row>
    <row r="540" spans="1:5">
      <c r="A540" s="73">
        <v>539</v>
      </c>
      <c r="B540" s="74" t="s">
        <v>116</v>
      </c>
      <c r="C540" s="77">
        <v>11351706</v>
      </c>
      <c r="D540" s="71" t="s">
        <v>664</v>
      </c>
      <c r="E540" s="71" t="s">
        <v>612</v>
      </c>
    </row>
    <row r="541" spans="1:5">
      <c r="A541" s="73">
        <v>540</v>
      </c>
      <c r="B541" s="74" t="s">
        <v>116</v>
      </c>
      <c r="C541" s="77">
        <v>11351694</v>
      </c>
      <c r="D541" s="71" t="s">
        <v>665</v>
      </c>
      <c r="E541" s="71" t="s">
        <v>612</v>
      </c>
    </row>
    <row r="542" spans="1:5">
      <c r="A542" s="73">
        <v>541</v>
      </c>
      <c r="B542" s="74" t="s">
        <v>116</v>
      </c>
      <c r="C542" s="77">
        <v>11351083</v>
      </c>
      <c r="D542" s="71" t="s">
        <v>666</v>
      </c>
      <c r="E542" s="71" t="s">
        <v>612</v>
      </c>
    </row>
    <row r="543" spans="1:5">
      <c r="A543" s="73">
        <v>542</v>
      </c>
      <c r="B543" s="74" t="s">
        <v>116</v>
      </c>
      <c r="C543" s="77">
        <v>11337269</v>
      </c>
      <c r="D543" s="71" t="s">
        <v>667</v>
      </c>
      <c r="E543" s="71" t="s">
        <v>612</v>
      </c>
    </row>
    <row r="544" spans="1:5">
      <c r="A544" s="73">
        <v>543</v>
      </c>
      <c r="B544" s="74" t="s">
        <v>116</v>
      </c>
      <c r="C544" s="77">
        <v>11353717</v>
      </c>
      <c r="D544" s="71" t="s">
        <v>668</v>
      </c>
      <c r="E544" s="71" t="s">
        <v>612</v>
      </c>
    </row>
    <row r="545" spans="1:5">
      <c r="A545" s="73">
        <v>544</v>
      </c>
      <c r="B545" s="74" t="s">
        <v>116</v>
      </c>
      <c r="C545" s="77">
        <v>11349952</v>
      </c>
      <c r="D545" s="71" t="s">
        <v>669</v>
      </c>
      <c r="E545" s="71" t="s">
        <v>612</v>
      </c>
    </row>
    <row r="546" spans="1:5">
      <c r="A546" s="73">
        <v>545</v>
      </c>
      <c r="B546" s="74" t="s">
        <v>116</v>
      </c>
      <c r="C546" s="77">
        <v>11351160</v>
      </c>
      <c r="D546" s="71" t="s">
        <v>670</v>
      </c>
      <c r="E546" s="71" t="s">
        <v>612</v>
      </c>
    </row>
    <row r="547" spans="1:5">
      <c r="A547" s="73">
        <v>546</v>
      </c>
      <c r="B547" s="74" t="s">
        <v>116</v>
      </c>
      <c r="C547" s="77">
        <v>11351309</v>
      </c>
      <c r="D547" s="71" t="s">
        <v>671</v>
      </c>
      <c r="E547" s="71" t="s">
        <v>612</v>
      </c>
    </row>
    <row r="548" spans="1:5">
      <c r="A548" s="73">
        <v>547</v>
      </c>
      <c r="B548" s="74" t="s">
        <v>116</v>
      </c>
      <c r="C548" s="77">
        <v>11352542</v>
      </c>
      <c r="D548" s="71" t="s">
        <v>672</v>
      </c>
      <c r="E548" s="71" t="s">
        <v>612</v>
      </c>
    </row>
    <row r="549" spans="1:5">
      <c r="A549" s="73">
        <v>548</v>
      </c>
      <c r="B549" s="74" t="s">
        <v>116</v>
      </c>
      <c r="C549" s="77">
        <v>11352260</v>
      </c>
      <c r="D549" s="71" t="s">
        <v>673</v>
      </c>
      <c r="E549" s="71" t="s">
        <v>612</v>
      </c>
    </row>
    <row r="550" spans="1:5">
      <c r="A550" s="73">
        <v>549</v>
      </c>
      <c r="B550" s="74" t="s">
        <v>116</v>
      </c>
      <c r="C550" s="77">
        <v>11301987</v>
      </c>
      <c r="D550" s="71" t="s">
        <v>674</v>
      </c>
      <c r="E550" s="71" t="s">
        <v>612</v>
      </c>
    </row>
    <row r="551" spans="1:5">
      <c r="A551" s="73">
        <v>550</v>
      </c>
      <c r="B551" s="74" t="s">
        <v>116</v>
      </c>
      <c r="C551" s="77">
        <v>11335281</v>
      </c>
      <c r="D551" s="71" t="s">
        <v>675</v>
      </c>
      <c r="E551" s="71" t="s">
        <v>676</v>
      </c>
    </row>
    <row r="552" spans="1:5">
      <c r="A552" s="73">
        <v>551</v>
      </c>
      <c r="B552" s="74" t="s">
        <v>116</v>
      </c>
      <c r="C552" s="77">
        <v>11352112</v>
      </c>
      <c r="D552" s="71" t="s">
        <v>677</v>
      </c>
      <c r="E552" s="71" t="s">
        <v>676</v>
      </c>
    </row>
    <row r="553" spans="1:5">
      <c r="A553" s="73">
        <v>552</v>
      </c>
      <c r="B553" s="74" t="s">
        <v>116</v>
      </c>
      <c r="C553" s="77">
        <v>11334099</v>
      </c>
      <c r="D553" s="71" t="s">
        <v>678</v>
      </c>
      <c r="E553" s="71" t="s">
        <v>676</v>
      </c>
    </row>
    <row r="554" spans="1:5">
      <c r="A554" s="73">
        <v>553</v>
      </c>
      <c r="B554" s="74" t="s">
        <v>116</v>
      </c>
      <c r="C554" s="77">
        <v>11354723</v>
      </c>
      <c r="D554" s="71" t="s">
        <v>679</v>
      </c>
      <c r="E554" s="71" t="s">
        <v>676</v>
      </c>
    </row>
    <row r="555" spans="1:5">
      <c r="A555" s="73">
        <v>554</v>
      </c>
      <c r="B555" s="74" t="s">
        <v>116</v>
      </c>
      <c r="C555" s="77">
        <v>11350186</v>
      </c>
      <c r="D555" s="71" t="s">
        <v>680</v>
      </c>
      <c r="E555" s="71" t="s">
        <v>676</v>
      </c>
    </row>
    <row r="556" spans="1:5">
      <c r="A556" s="73">
        <v>555</v>
      </c>
      <c r="B556" s="74" t="s">
        <v>116</v>
      </c>
      <c r="C556" s="77">
        <v>11335768</v>
      </c>
      <c r="D556" s="71" t="s">
        <v>681</v>
      </c>
      <c r="E556" s="71" t="s">
        <v>676</v>
      </c>
    </row>
    <row r="557" spans="1:5">
      <c r="A557" s="73">
        <v>556</v>
      </c>
      <c r="B557" s="74" t="s">
        <v>116</v>
      </c>
      <c r="C557" s="77">
        <v>11354512</v>
      </c>
      <c r="D557" s="71" t="s">
        <v>682</v>
      </c>
      <c r="E557" s="71" t="s">
        <v>676</v>
      </c>
    </row>
    <row r="558" spans="1:5">
      <c r="A558" s="73">
        <v>557</v>
      </c>
      <c r="B558" s="74" t="s">
        <v>116</v>
      </c>
      <c r="C558" s="77">
        <v>11353095</v>
      </c>
      <c r="D558" s="71" t="s">
        <v>683</v>
      </c>
      <c r="E558" s="71" t="s">
        <v>676</v>
      </c>
    </row>
    <row r="559" spans="1:5">
      <c r="A559" s="73">
        <v>558</v>
      </c>
      <c r="B559" s="74" t="s">
        <v>116</v>
      </c>
      <c r="C559" s="77">
        <v>11352434</v>
      </c>
      <c r="D559" s="71" t="s">
        <v>684</v>
      </c>
      <c r="E559" s="71" t="s">
        <v>676</v>
      </c>
    </row>
    <row r="560" spans="1:5">
      <c r="A560" s="73">
        <v>559</v>
      </c>
      <c r="B560" s="74" t="s">
        <v>116</v>
      </c>
      <c r="C560" s="77">
        <v>11353901</v>
      </c>
      <c r="D560" s="71" t="s">
        <v>555</v>
      </c>
      <c r="E560" s="71" t="s">
        <v>676</v>
      </c>
    </row>
    <row r="561" spans="1:5">
      <c r="A561" s="73">
        <v>560</v>
      </c>
      <c r="B561" s="74" t="s">
        <v>116</v>
      </c>
      <c r="C561" s="77">
        <v>11337592</v>
      </c>
      <c r="D561" s="71" t="s">
        <v>685</v>
      </c>
      <c r="E561" s="71" t="s">
        <v>676</v>
      </c>
    </row>
    <row r="562" spans="1:5">
      <c r="A562" s="73">
        <v>561</v>
      </c>
      <c r="B562" s="74" t="s">
        <v>116</v>
      </c>
      <c r="C562" s="77">
        <v>11352486</v>
      </c>
      <c r="D562" s="71" t="s">
        <v>686</v>
      </c>
      <c r="E562" s="71" t="s">
        <v>676</v>
      </c>
    </row>
    <row r="563" spans="1:5">
      <c r="A563" s="73">
        <v>562</v>
      </c>
      <c r="B563" s="74" t="s">
        <v>116</v>
      </c>
      <c r="C563" s="77">
        <v>11354496</v>
      </c>
      <c r="D563" s="71" t="s">
        <v>687</v>
      </c>
      <c r="E563" s="71" t="s">
        <v>676</v>
      </c>
    </row>
    <row r="564" spans="1:5">
      <c r="A564" s="73">
        <v>563</v>
      </c>
      <c r="B564" s="74" t="s">
        <v>116</v>
      </c>
      <c r="C564" s="77">
        <v>11351565</v>
      </c>
      <c r="D564" s="71" t="s">
        <v>688</v>
      </c>
      <c r="E564" s="71" t="s">
        <v>676</v>
      </c>
    </row>
    <row r="565" spans="1:5">
      <c r="A565" s="73">
        <v>564</v>
      </c>
      <c r="B565" s="74" t="s">
        <v>116</v>
      </c>
      <c r="C565" s="77">
        <v>11354033</v>
      </c>
      <c r="D565" s="71" t="s">
        <v>689</v>
      </c>
      <c r="E565" s="71" t="s">
        <v>676</v>
      </c>
    </row>
    <row r="566" spans="1:5">
      <c r="A566" s="73">
        <v>565</v>
      </c>
      <c r="B566" s="74" t="s">
        <v>116</v>
      </c>
      <c r="C566" s="77">
        <v>11333544</v>
      </c>
      <c r="D566" s="71" t="s">
        <v>690</v>
      </c>
      <c r="E566" s="71" t="s">
        <v>676</v>
      </c>
    </row>
    <row r="567" spans="1:5">
      <c r="A567" s="73">
        <v>566</v>
      </c>
      <c r="B567" s="74" t="s">
        <v>116</v>
      </c>
      <c r="C567" s="77">
        <v>11352110</v>
      </c>
      <c r="D567" s="71" t="s">
        <v>691</v>
      </c>
      <c r="E567" s="71" t="s">
        <v>676</v>
      </c>
    </row>
    <row r="568" spans="1:5">
      <c r="A568" s="73">
        <v>567</v>
      </c>
      <c r="B568" s="74" t="s">
        <v>116</v>
      </c>
      <c r="C568" s="77">
        <v>11351016</v>
      </c>
      <c r="D568" s="71" t="s">
        <v>692</v>
      </c>
      <c r="E568" s="71" t="s">
        <v>676</v>
      </c>
    </row>
    <row r="569" spans="1:5">
      <c r="A569" s="73">
        <v>568</v>
      </c>
      <c r="B569" s="74" t="s">
        <v>116</v>
      </c>
      <c r="C569" s="77">
        <v>11333915</v>
      </c>
      <c r="D569" s="71" t="s">
        <v>693</v>
      </c>
      <c r="E569" s="71" t="s">
        <v>676</v>
      </c>
    </row>
    <row r="570" spans="1:5">
      <c r="A570" s="73">
        <v>569</v>
      </c>
      <c r="B570" s="74" t="s">
        <v>116</v>
      </c>
      <c r="C570" s="77">
        <v>11353792</v>
      </c>
      <c r="D570" s="71" t="s">
        <v>694</v>
      </c>
      <c r="E570" s="71" t="s">
        <v>676</v>
      </c>
    </row>
    <row r="571" spans="1:5">
      <c r="A571" s="73">
        <v>570</v>
      </c>
      <c r="B571" s="74" t="s">
        <v>116</v>
      </c>
      <c r="C571" s="77">
        <v>11354868</v>
      </c>
      <c r="D571" s="71" t="s">
        <v>695</v>
      </c>
      <c r="E571" s="71" t="s">
        <v>676</v>
      </c>
    </row>
    <row r="572" spans="1:5">
      <c r="A572" s="73">
        <v>571</v>
      </c>
      <c r="B572" s="74" t="s">
        <v>116</v>
      </c>
      <c r="C572" s="77">
        <v>11354866</v>
      </c>
      <c r="D572" s="71" t="s">
        <v>696</v>
      </c>
      <c r="E572" s="71" t="s">
        <v>676</v>
      </c>
    </row>
    <row r="573" spans="1:5">
      <c r="A573" s="73">
        <v>572</v>
      </c>
      <c r="B573" s="74" t="s">
        <v>116</v>
      </c>
      <c r="C573" s="77">
        <v>11352245</v>
      </c>
      <c r="D573" s="71" t="s">
        <v>697</v>
      </c>
      <c r="E573" s="71" t="s">
        <v>676</v>
      </c>
    </row>
    <row r="574" spans="1:5">
      <c r="A574" s="73">
        <v>573</v>
      </c>
      <c r="B574" s="74" t="s">
        <v>116</v>
      </c>
      <c r="C574" s="77">
        <v>11351416</v>
      </c>
      <c r="D574" s="71" t="s">
        <v>698</v>
      </c>
      <c r="E574" s="71" t="s">
        <v>676</v>
      </c>
    </row>
    <row r="575" spans="1:5">
      <c r="A575" s="73">
        <v>574</v>
      </c>
      <c r="B575" s="74" t="s">
        <v>116</v>
      </c>
      <c r="C575" s="77">
        <v>11352128</v>
      </c>
      <c r="D575" s="71" t="s">
        <v>699</v>
      </c>
      <c r="E575" s="71" t="s">
        <v>676</v>
      </c>
    </row>
    <row r="576" spans="1:5">
      <c r="A576" s="73">
        <v>575</v>
      </c>
      <c r="B576" s="74" t="s">
        <v>116</v>
      </c>
      <c r="C576" s="77">
        <v>11354405</v>
      </c>
      <c r="D576" s="71" t="s">
        <v>700</v>
      </c>
      <c r="E576" s="71" t="s">
        <v>676</v>
      </c>
    </row>
    <row r="577" spans="1:5">
      <c r="A577" s="73">
        <v>576</v>
      </c>
      <c r="B577" s="74" t="s">
        <v>116</v>
      </c>
      <c r="C577" s="77">
        <v>11336581</v>
      </c>
      <c r="D577" s="71" t="s">
        <v>701</v>
      </c>
      <c r="E577" s="71" t="s">
        <v>676</v>
      </c>
    </row>
    <row r="578" spans="1:5">
      <c r="A578" s="73">
        <v>577</v>
      </c>
      <c r="B578" s="74" t="s">
        <v>116</v>
      </c>
      <c r="C578" s="77">
        <v>11352895</v>
      </c>
      <c r="D578" s="71" t="s">
        <v>702</v>
      </c>
      <c r="E578" s="71" t="s">
        <v>676</v>
      </c>
    </row>
    <row r="579" spans="1:5">
      <c r="A579" s="73">
        <v>578</v>
      </c>
      <c r="B579" s="74" t="s">
        <v>116</v>
      </c>
      <c r="C579" s="77">
        <v>11351422</v>
      </c>
      <c r="D579" s="71" t="s">
        <v>703</v>
      </c>
      <c r="E579" s="71" t="s">
        <v>676</v>
      </c>
    </row>
    <row r="580" spans="1:5">
      <c r="A580" s="73">
        <v>579</v>
      </c>
      <c r="B580" s="74" t="s">
        <v>116</v>
      </c>
      <c r="C580" s="77">
        <v>11338174</v>
      </c>
      <c r="D580" s="71" t="s">
        <v>704</v>
      </c>
      <c r="E580" s="71" t="s">
        <v>676</v>
      </c>
    </row>
    <row r="581" spans="1:5">
      <c r="A581" s="73">
        <v>580</v>
      </c>
      <c r="B581" s="74" t="s">
        <v>116</v>
      </c>
      <c r="C581" s="77">
        <v>11352255</v>
      </c>
      <c r="D581" s="71" t="s">
        <v>705</v>
      </c>
      <c r="E581" s="71" t="s">
        <v>676</v>
      </c>
    </row>
    <row r="582" spans="1:5">
      <c r="A582" s="73">
        <v>581</v>
      </c>
      <c r="B582" s="74" t="s">
        <v>116</v>
      </c>
      <c r="C582" s="77">
        <v>11350969</v>
      </c>
      <c r="D582" s="71" t="s">
        <v>706</v>
      </c>
      <c r="E582" s="71" t="s">
        <v>676</v>
      </c>
    </row>
    <row r="583" spans="1:5">
      <c r="A583" s="73">
        <v>582</v>
      </c>
      <c r="B583" s="74" t="s">
        <v>116</v>
      </c>
      <c r="C583" s="77">
        <v>11352898</v>
      </c>
      <c r="D583" s="71" t="s">
        <v>707</v>
      </c>
      <c r="E583" s="71" t="s">
        <v>676</v>
      </c>
    </row>
    <row r="584" spans="1:5">
      <c r="A584" s="73">
        <v>583</v>
      </c>
      <c r="B584" s="74" t="s">
        <v>116</v>
      </c>
      <c r="C584" s="77">
        <v>11336166</v>
      </c>
      <c r="D584" s="71" t="s">
        <v>708</v>
      </c>
      <c r="E584" s="71" t="s">
        <v>676</v>
      </c>
    </row>
    <row r="585" spans="1:5">
      <c r="A585" s="73">
        <v>584</v>
      </c>
      <c r="B585" s="74" t="s">
        <v>116</v>
      </c>
      <c r="C585" s="77">
        <v>11354166</v>
      </c>
      <c r="D585" s="71" t="s">
        <v>709</v>
      </c>
      <c r="E585" s="71" t="s">
        <v>676</v>
      </c>
    </row>
    <row r="586" spans="1:5">
      <c r="A586" s="73">
        <v>585</v>
      </c>
      <c r="B586" s="74" t="s">
        <v>116</v>
      </c>
      <c r="C586" s="77">
        <v>11354016</v>
      </c>
      <c r="D586" s="71" t="s">
        <v>710</v>
      </c>
      <c r="E586" s="71" t="s">
        <v>676</v>
      </c>
    </row>
    <row r="587" spans="1:5">
      <c r="A587" s="73">
        <v>586</v>
      </c>
      <c r="B587" s="74" t="s">
        <v>116</v>
      </c>
      <c r="C587" s="77">
        <v>11349037</v>
      </c>
      <c r="D587" s="71" t="s">
        <v>711</v>
      </c>
      <c r="E587" s="71" t="s">
        <v>676</v>
      </c>
    </row>
    <row r="588" spans="1:5">
      <c r="A588" s="73">
        <v>587</v>
      </c>
      <c r="B588" s="74" t="s">
        <v>116</v>
      </c>
      <c r="C588" s="77">
        <v>11353228</v>
      </c>
      <c r="D588" s="71" t="s">
        <v>712</v>
      </c>
      <c r="E588" s="71" t="s">
        <v>676</v>
      </c>
    </row>
    <row r="589" spans="1:5">
      <c r="A589" s="73">
        <v>588</v>
      </c>
      <c r="B589" s="74" t="s">
        <v>116</v>
      </c>
      <c r="C589" s="77">
        <v>11354522</v>
      </c>
      <c r="D589" s="71" t="s">
        <v>713</v>
      </c>
      <c r="E589" s="71" t="s">
        <v>676</v>
      </c>
    </row>
    <row r="590" spans="1:5">
      <c r="A590" s="73">
        <v>589</v>
      </c>
      <c r="B590" s="74" t="s">
        <v>116</v>
      </c>
      <c r="C590" s="77">
        <v>11355046</v>
      </c>
      <c r="D590" s="71" t="s">
        <v>714</v>
      </c>
      <c r="E590" s="71" t="s">
        <v>676</v>
      </c>
    </row>
    <row r="591" spans="1:5">
      <c r="A591" s="73">
        <v>590</v>
      </c>
      <c r="B591" s="74" t="s">
        <v>116</v>
      </c>
      <c r="C591" s="77">
        <v>11354058</v>
      </c>
      <c r="D591" s="71" t="s">
        <v>715</v>
      </c>
      <c r="E591" s="71" t="s">
        <v>676</v>
      </c>
    </row>
    <row r="592" spans="1:5">
      <c r="A592" s="73">
        <v>591</v>
      </c>
      <c r="B592" s="74" t="s">
        <v>116</v>
      </c>
      <c r="C592" s="77">
        <v>11336179</v>
      </c>
      <c r="D592" s="71" t="s">
        <v>716</v>
      </c>
      <c r="E592" s="71" t="s">
        <v>676</v>
      </c>
    </row>
    <row r="593" spans="1:5">
      <c r="A593" s="73">
        <v>592</v>
      </c>
      <c r="B593" s="74" t="s">
        <v>116</v>
      </c>
      <c r="C593" s="77">
        <v>11333932</v>
      </c>
      <c r="D593" s="71" t="s">
        <v>717</v>
      </c>
      <c r="E593" s="71" t="s">
        <v>676</v>
      </c>
    </row>
    <row r="594" spans="1:5">
      <c r="A594" s="73">
        <v>593</v>
      </c>
      <c r="B594" s="74" t="s">
        <v>116</v>
      </c>
      <c r="C594" s="77">
        <v>11335743</v>
      </c>
      <c r="D594" s="71" t="s">
        <v>718</v>
      </c>
      <c r="E594" s="71" t="s">
        <v>676</v>
      </c>
    </row>
    <row r="595" spans="1:5">
      <c r="A595" s="73">
        <v>594</v>
      </c>
      <c r="B595" s="74" t="s">
        <v>116</v>
      </c>
      <c r="C595" s="77">
        <v>11351879</v>
      </c>
      <c r="D595" s="71" t="s">
        <v>719</v>
      </c>
      <c r="E595" s="71" t="s">
        <v>676</v>
      </c>
    </row>
    <row r="596" spans="1:5">
      <c r="A596" s="73">
        <v>595</v>
      </c>
      <c r="B596" s="74" t="s">
        <v>116</v>
      </c>
      <c r="C596" s="77">
        <v>11351306</v>
      </c>
      <c r="D596" s="71" t="s">
        <v>720</v>
      </c>
      <c r="E596" s="71" t="s">
        <v>676</v>
      </c>
    </row>
    <row r="597" spans="1:5">
      <c r="A597" s="73">
        <v>596</v>
      </c>
      <c r="B597" s="74" t="s">
        <v>116</v>
      </c>
      <c r="C597" s="77">
        <v>11343321</v>
      </c>
      <c r="D597" s="71" t="s">
        <v>721</v>
      </c>
      <c r="E597" s="71" t="s">
        <v>676</v>
      </c>
    </row>
    <row r="598" spans="1:5">
      <c r="A598" s="73">
        <v>597</v>
      </c>
      <c r="B598" s="74" t="s">
        <v>116</v>
      </c>
      <c r="C598" s="77">
        <v>11348158</v>
      </c>
      <c r="D598" s="71" t="s">
        <v>722</v>
      </c>
      <c r="E598" s="71" t="s">
        <v>676</v>
      </c>
    </row>
    <row r="599" spans="1:5">
      <c r="A599" s="73">
        <v>598</v>
      </c>
      <c r="B599" s="74" t="s">
        <v>116</v>
      </c>
      <c r="C599" s="77">
        <v>11351580</v>
      </c>
      <c r="D599" s="71" t="s">
        <v>723</v>
      </c>
      <c r="E599" s="71" t="s">
        <v>676</v>
      </c>
    </row>
    <row r="600" spans="1:5">
      <c r="A600" s="73">
        <v>599</v>
      </c>
      <c r="B600" s="74" t="s">
        <v>116</v>
      </c>
      <c r="C600" s="77">
        <v>11352396</v>
      </c>
      <c r="D600" s="71" t="s">
        <v>724</v>
      </c>
      <c r="E600" s="71" t="s">
        <v>676</v>
      </c>
    </row>
    <row r="601" spans="1:5">
      <c r="A601" s="73">
        <v>600</v>
      </c>
      <c r="B601" s="74" t="s">
        <v>116</v>
      </c>
      <c r="C601" s="77">
        <v>11334770</v>
      </c>
      <c r="D601" s="71" t="s">
        <v>725</v>
      </c>
      <c r="E601" s="71" t="s">
        <v>676</v>
      </c>
    </row>
    <row r="602" spans="1:5">
      <c r="A602" s="73">
        <v>601</v>
      </c>
      <c r="B602" s="74" t="s">
        <v>116</v>
      </c>
      <c r="C602" s="77">
        <v>11348662</v>
      </c>
      <c r="D602" s="71" t="s">
        <v>726</v>
      </c>
      <c r="E602" s="71" t="s">
        <v>676</v>
      </c>
    </row>
    <row r="603" spans="1:5">
      <c r="A603" s="73">
        <v>602</v>
      </c>
      <c r="B603" s="74" t="s">
        <v>116</v>
      </c>
      <c r="C603" s="77">
        <v>11352291</v>
      </c>
      <c r="D603" s="71" t="s">
        <v>727</v>
      </c>
      <c r="E603" s="71" t="s">
        <v>676</v>
      </c>
    </row>
    <row r="604" spans="1:5">
      <c r="A604" s="73">
        <v>603</v>
      </c>
      <c r="B604" s="74" t="s">
        <v>116</v>
      </c>
      <c r="C604" s="77">
        <v>11350262</v>
      </c>
      <c r="D604" s="71" t="s">
        <v>728</v>
      </c>
      <c r="E604" s="71" t="s">
        <v>676</v>
      </c>
    </row>
    <row r="605" spans="1:5">
      <c r="A605" s="73">
        <v>604</v>
      </c>
      <c r="B605" s="74" t="s">
        <v>116</v>
      </c>
      <c r="C605" s="77">
        <v>11334957</v>
      </c>
      <c r="D605" s="71" t="s">
        <v>729</v>
      </c>
      <c r="E605" s="71" t="s">
        <v>676</v>
      </c>
    </row>
    <row r="606" spans="1:5">
      <c r="A606" s="73">
        <v>605</v>
      </c>
      <c r="B606" s="74" t="s">
        <v>116</v>
      </c>
      <c r="C606" s="77">
        <v>11333354</v>
      </c>
      <c r="D606" s="71" t="s">
        <v>730</v>
      </c>
      <c r="E606" s="71" t="s">
        <v>676</v>
      </c>
    </row>
    <row r="607" spans="1:5">
      <c r="A607" s="73">
        <v>606</v>
      </c>
      <c r="B607" s="74" t="s">
        <v>116</v>
      </c>
      <c r="C607" s="77">
        <v>11354261</v>
      </c>
      <c r="D607" s="71" t="s">
        <v>731</v>
      </c>
      <c r="E607" s="71" t="s">
        <v>676</v>
      </c>
    </row>
    <row r="608" spans="1:5">
      <c r="A608" s="73">
        <v>607</v>
      </c>
      <c r="B608" s="74" t="s">
        <v>116</v>
      </c>
      <c r="C608" s="77">
        <v>11353094</v>
      </c>
      <c r="D608" s="71" t="s">
        <v>732</v>
      </c>
      <c r="E608" s="71" t="s">
        <v>676</v>
      </c>
    </row>
    <row r="609" spans="1:5">
      <c r="A609" s="73">
        <v>608</v>
      </c>
      <c r="B609" s="74" t="s">
        <v>116</v>
      </c>
      <c r="C609" s="77">
        <v>11352870</v>
      </c>
      <c r="D609" s="71" t="s">
        <v>733</v>
      </c>
      <c r="E609" s="71" t="s">
        <v>676</v>
      </c>
    </row>
    <row r="610" spans="1:5">
      <c r="A610" s="73">
        <v>609</v>
      </c>
      <c r="B610" s="74" t="s">
        <v>116</v>
      </c>
      <c r="C610" s="77">
        <v>11331343</v>
      </c>
      <c r="D610" s="71" t="s">
        <v>734</v>
      </c>
      <c r="E610" s="71" t="s">
        <v>676</v>
      </c>
    </row>
    <row r="611" spans="1:5">
      <c r="A611" s="73">
        <v>610</v>
      </c>
      <c r="B611" s="74" t="s">
        <v>116</v>
      </c>
      <c r="C611" s="77">
        <v>11355213</v>
      </c>
      <c r="D611" s="71" t="s">
        <v>735</v>
      </c>
      <c r="E611" s="71" t="s">
        <v>676</v>
      </c>
    </row>
    <row r="612" spans="1:5">
      <c r="A612" s="73">
        <v>611</v>
      </c>
      <c r="B612" s="74" t="s">
        <v>116</v>
      </c>
      <c r="C612" s="77">
        <v>11351377</v>
      </c>
      <c r="D612" s="71" t="s">
        <v>736</v>
      </c>
      <c r="E612" s="71" t="s">
        <v>676</v>
      </c>
    </row>
    <row r="613" spans="1:5">
      <c r="A613" s="73">
        <v>612</v>
      </c>
      <c r="B613" s="74" t="s">
        <v>116</v>
      </c>
      <c r="C613" s="77">
        <v>11353108</v>
      </c>
      <c r="D613" s="71" t="s">
        <v>737</v>
      </c>
      <c r="E613" s="71" t="s">
        <v>676</v>
      </c>
    </row>
    <row r="614" spans="1:5">
      <c r="A614" s="73">
        <v>613</v>
      </c>
      <c r="B614" s="74" t="s">
        <v>116</v>
      </c>
      <c r="C614" s="77">
        <v>11333412</v>
      </c>
      <c r="D614" s="71" t="s">
        <v>738</v>
      </c>
      <c r="E614" s="71" t="s">
        <v>676</v>
      </c>
    </row>
    <row r="615" spans="1:5">
      <c r="A615" s="73">
        <v>614</v>
      </c>
      <c r="B615" s="74" t="s">
        <v>116</v>
      </c>
      <c r="C615" s="77">
        <v>11333812</v>
      </c>
      <c r="D615" s="71" t="s">
        <v>739</v>
      </c>
      <c r="E615" s="71" t="s">
        <v>740</v>
      </c>
    </row>
    <row r="616" spans="1:5">
      <c r="A616" s="73">
        <v>615</v>
      </c>
      <c r="B616" s="74" t="s">
        <v>116</v>
      </c>
      <c r="C616" s="77">
        <v>11332229</v>
      </c>
      <c r="D616" s="71" t="s">
        <v>741</v>
      </c>
      <c r="E616" s="71" t="s">
        <v>740</v>
      </c>
    </row>
    <row r="617" spans="1:5">
      <c r="A617" s="73">
        <v>616</v>
      </c>
      <c r="B617" s="74" t="s">
        <v>116</v>
      </c>
      <c r="C617" s="77">
        <v>11331132</v>
      </c>
      <c r="D617" s="71" t="s">
        <v>742</v>
      </c>
      <c r="E617" s="71" t="s">
        <v>740</v>
      </c>
    </row>
    <row r="618" spans="1:5">
      <c r="A618" s="73">
        <v>617</v>
      </c>
      <c r="B618" s="74" t="s">
        <v>116</v>
      </c>
      <c r="C618" s="77">
        <v>11350643</v>
      </c>
      <c r="D618" s="71" t="s">
        <v>743</v>
      </c>
      <c r="E618" s="71" t="s">
        <v>740</v>
      </c>
    </row>
    <row r="619" spans="1:5">
      <c r="A619" s="73">
        <v>618</v>
      </c>
      <c r="B619" s="74" t="s">
        <v>116</v>
      </c>
      <c r="C619" s="77">
        <v>11354183</v>
      </c>
      <c r="D619" s="71" t="s">
        <v>744</v>
      </c>
      <c r="E619" s="71" t="s">
        <v>740</v>
      </c>
    </row>
    <row r="620" spans="1:5">
      <c r="A620" s="73">
        <v>619</v>
      </c>
      <c r="B620" s="74" t="s">
        <v>116</v>
      </c>
      <c r="C620" s="77">
        <v>11333157</v>
      </c>
      <c r="D620" s="71" t="s">
        <v>745</v>
      </c>
      <c r="E620" s="71" t="s">
        <v>740</v>
      </c>
    </row>
    <row r="621" spans="1:5">
      <c r="A621" s="73">
        <v>620</v>
      </c>
      <c r="B621" s="74" t="s">
        <v>116</v>
      </c>
      <c r="C621" s="77">
        <v>11349704</v>
      </c>
      <c r="D621" s="71" t="s">
        <v>746</v>
      </c>
      <c r="E621" s="71" t="s">
        <v>740</v>
      </c>
    </row>
    <row r="622" spans="1:5">
      <c r="A622" s="73">
        <v>621</v>
      </c>
      <c r="B622" s="74" t="s">
        <v>116</v>
      </c>
      <c r="C622" s="77">
        <v>11353586</v>
      </c>
      <c r="D622" s="71" t="s">
        <v>747</v>
      </c>
      <c r="E622" s="71" t="s">
        <v>740</v>
      </c>
    </row>
    <row r="623" spans="1:5">
      <c r="A623" s="73">
        <v>622</v>
      </c>
      <c r="B623" s="74" t="s">
        <v>116</v>
      </c>
      <c r="C623" s="77">
        <v>11334665</v>
      </c>
      <c r="D623" s="71" t="s">
        <v>748</v>
      </c>
      <c r="E623" s="71" t="s">
        <v>740</v>
      </c>
    </row>
    <row r="624" spans="1:5">
      <c r="A624" s="73">
        <v>623</v>
      </c>
      <c r="B624" s="74" t="s">
        <v>116</v>
      </c>
      <c r="C624" s="77">
        <v>11351379</v>
      </c>
      <c r="D624" s="71" t="s">
        <v>749</v>
      </c>
      <c r="E624" s="71" t="s">
        <v>740</v>
      </c>
    </row>
    <row r="625" spans="1:5">
      <c r="A625" s="73">
        <v>624</v>
      </c>
      <c r="B625" s="74" t="s">
        <v>116</v>
      </c>
      <c r="C625" s="77">
        <v>11351394</v>
      </c>
      <c r="D625" s="71" t="s">
        <v>750</v>
      </c>
      <c r="E625" s="71" t="s">
        <v>740</v>
      </c>
    </row>
    <row r="626" spans="1:5">
      <c r="A626" s="73">
        <v>625</v>
      </c>
      <c r="B626" s="74" t="s">
        <v>116</v>
      </c>
      <c r="C626" s="77">
        <v>11349833</v>
      </c>
      <c r="D626" s="71" t="s">
        <v>751</v>
      </c>
      <c r="E626" s="71" t="s">
        <v>740</v>
      </c>
    </row>
    <row r="627" spans="1:5">
      <c r="A627" s="73">
        <v>626</v>
      </c>
      <c r="B627" s="74" t="s">
        <v>116</v>
      </c>
      <c r="C627" s="77">
        <v>11352120</v>
      </c>
      <c r="D627" s="71" t="s">
        <v>752</v>
      </c>
      <c r="E627" s="71" t="s">
        <v>740</v>
      </c>
    </row>
    <row r="628" spans="1:5">
      <c r="A628" s="73">
        <v>627</v>
      </c>
      <c r="B628" s="74" t="s">
        <v>116</v>
      </c>
      <c r="C628" s="77">
        <v>11353105</v>
      </c>
      <c r="D628" s="71" t="s">
        <v>753</v>
      </c>
      <c r="E628" s="71" t="s">
        <v>740</v>
      </c>
    </row>
    <row r="629" spans="1:5">
      <c r="A629" s="73">
        <v>628</v>
      </c>
      <c r="B629" s="74" t="s">
        <v>116</v>
      </c>
      <c r="C629" s="77">
        <v>11335735</v>
      </c>
      <c r="D629" s="71" t="s">
        <v>754</v>
      </c>
      <c r="E629" s="71" t="s">
        <v>740</v>
      </c>
    </row>
    <row r="630" spans="1:5">
      <c r="A630" s="73">
        <v>629</v>
      </c>
      <c r="B630" s="74" t="s">
        <v>116</v>
      </c>
      <c r="C630" s="77">
        <v>11336887</v>
      </c>
      <c r="D630" s="71" t="s">
        <v>755</v>
      </c>
      <c r="E630" s="71" t="s">
        <v>740</v>
      </c>
    </row>
    <row r="631" spans="1:5">
      <c r="A631" s="73">
        <v>630</v>
      </c>
      <c r="B631" s="74" t="s">
        <v>116</v>
      </c>
      <c r="C631" s="77">
        <v>11333895</v>
      </c>
      <c r="D631" s="71" t="s">
        <v>756</v>
      </c>
      <c r="E631" s="71" t="s">
        <v>740</v>
      </c>
    </row>
    <row r="632" spans="1:5">
      <c r="A632" s="73">
        <v>631</v>
      </c>
      <c r="B632" s="74" t="s">
        <v>116</v>
      </c>
      <c r="C632" s="77">
        <v>11353429</v>
      </c>
      <c r="D632" s="71" t="s">
        <v>757</v>
      </c>
      <c r="E632" s="71" t="s">
        <v>740</v>
      </c>
    </row>
    <row r="633" spans="1:5">
      <c r="A633" s="73">
        <v>632</v>
      </c>
      <c r="B633" s="74" t="s">
        <v>116</v>
      </c>
      <c r="C633" s="77">
        <v>11352288</v>
      </c>
      <c r="D633" s="71" t="s">
        <v>758</v>
      </c>
      <c r="E633" s="71" t="s">
        <v>740</v>
      </c>
    </row>
    <row r="634" spans="1:5">
      <c r="A634" s="73">
        <v>633</v>
      </c>
      <c r="B634" s="74" t="s">
        <v>116</v>
      </c>
      <c r="C634" s="77">
        <v>11351005</v>
      </c>
      <c r="D634" s="71" t="s">
        <v>759</v>
      </c>
      <c r="E634" s="71" t="s">
        <v>740</v>
      </c>
    </row>
    <row r="635" spans="1:5">
      <c r="A635" s="73">
        <v>634</v>
      </c>
      <c r="B635" s="74" t="s">
        <v>116</v>
      </c>
      <c r="C635" s="77">
        <v>11334371</v>
      </c>
      <c r="D635" s="71" t="s">
        <v>760</v>
      </c>
      <c r="E635" s="71" t="s">
        <v>740</v>
      </c>
    </row>
    <row r="636" spans="1:5">
      <c r="A636" s="73">
        <v>635</v>
      </c>
      <c r="B636" s="74" t="s">
        <v>116</v>
      </c>
      <c r="C636" s="77">
        <v>11333559</v>
      </c>
      <c r="D636" s="71" t="s">
        <v>761</v>
      </c>
      <c r="E636" s="71" t="s">
        <v>740</v>
      </c>
    </row>
    <row r="637" spans="1:5">
      <c r="A637" s="73">
        <v>636</v>
      </c>
      <c r="B637" s="74" t="s">
        <v>116</v>
      </c>
      <c r="C637" s="77">
        <v>11354736</v>
      </c>
      <c r="D637" s="71" t="s">
        <v>762</v>
      </c>
      <c r="E637" s="71" t="s">
        <v>740</v>
      </c>
    </row>
    <row r="638" spans="1:5">
      <c r="A638" s="73">
        <v>637</v>
      </c>
      <c r="B638" s="74" t="s">
        <v>116</v>
      </c>
      <c r="C638" s="77">
        <v>11319924</v>
      </c>
      <c r="D638" s="71" t="s">
        <v>763</v>
      </c>
      <c r="E638" s="71" t="s">
        <v>740</v>
      </c>
    </row>
    <row r="639" spans="1:5">
      <c r="A639" s="73">
        <v>638</v>
      </c>
      <c r="B639" s="74" t="s">
        <v>116</v>
      </c>
      <c r="C639" s="77">
        <v>11349951</v>
      </c>
      <c r="D639" s="71" t="s">
        <v>764</v>
      </c>
      <c r="E639" s="71" t="s">
        <v>740</v>
      </c>
    </row>
    <row r="640" spans="1:5">
      <c r="A640" s="73">
        <v>639</v>
      </c>
      <c r="B640" s="74" t="s">
        <v>116</v>
      </c>
      <c r="C640" s="77">
        <v>11354871</v>
      </c>
      <c r="D640" s="71" t="s">
        <v>765</v>
      </c>
      <c r="E640" s="71" t="s">
        <v>740</v>
      </c>
    </row>
    <row r="641" spans="1:5">
      <c r="A641" s="73">
        <v>640</v>
      </c>
      <c r="B641" s="74" t="s">
        <v>116</v>
      </c>
      <c r="C641" s="77">
        <v>11355996</v>
      </c>
      <c r="D641" s="71" t="s">
        <v>766</v>
      </c>
      <c r="E641" s="71" t="s">
        <v>740</v>
      </c>
    </row>
    <row r="642" spans="1:5">
      <c r="A642" s="73">
        <v>641</v>
      </c>
      <c r="B642" s="74" t="s">
        <v>116</v>
      </c>
      <c r="C642" s="77">
        <v>11354487</v>
      </c>
      <c r="D642" s="71" t="s">
        <v>767</v>
      </c>
      <c r="E642" s="71" t="s">
        <v>740</v>
      </c>
    </row>
    <row r="643" spans="1:5">
      <c r="A643" s="73">
        <v>642</v>
      </c>
      <c r="B643" s="74" t="s">
        <v>116</v>
      </c>
      <c r="C643" s="77">
        <v>11354532</v>
      </c>
      <c r="D643" s="71" t="s">
        <v>768</v>
      </c>
      <c r="E643" s="71" t="s">
        <v>740</v>
      </c>
    </row>
    <row r="644" spans="1:5">
      <c r="A644" s="73">
        <v>643</v>
      </c>
      <c r="B644" s="74" t="s">
        <v>116</v>
      </c>
      <c r="C644" s="77">
        <v>11352117</v>
      </c>
      <c r="D644" s="71" t="s">
        <v>769</v>
      </c>
      <c r="E644" s="71" t="s">
        <v>740</v>
      </c>
    </row>
    <row r="645" spans="1:5">
      <c r="A645" s="73">
        <v>644</v>
      </c>
      <c r="B645" s="74" t="s">
        <v>116</v>
      </c>
      <c r="C645" s="77">
        <v>11335684</v>
      </c>
      <c r="D645" s="71" t="s">
        <v>770</v>
      </c>
      <c r="E645" s="71" t="s">
        <v>740</v>
      </c>
    </row>
    <row r="646" spans="1:5">
      <c r="A646" s="73">
        <v>645</v>
      </c>
      <c r="B646" s="74" t="s">
        <v>116</v>
      </c>
      <c r="C646" s="77">
        <v>11351067</v>
      </c>
      <c r="D646" s="71" t="s">
        <v>771</v>
      </c>
      <c r="E646" s="71" t="s">
        <v>740</v>
      </c>
    </row>
    <row r="647" spans="1:5">
      <c r="A647" s="73">
        <v>646</v>
      </c>
      <c r="B647" s="74" t="s">
        <v>116</v>
      </c>
      <c r="C647" s="77">
        <v>11351133</v>
      </c>
      <c r="D647" s="71" t="s">
        <v>772</v>
      </c>
      <c r="E647" s="71" t="s">
        <v>740</v>
      </c>
    </row>
    <row r="648" spans="1:5">
      <c r="A648" s="73">
        <v>647</v>
      </c>
      <c r="B648" s="74" t="s">
        <v>116</v>
      </c>
      <c r="C648" s="77">
        <v>11353964</v>
      </c>
      <c r="D648" s="71" t="s">
        <v>773</v>
      </c>
      <c r="E648" s="71" t="s">
        <v>740</v>
      </c>
    </row>
    <row r="649" spans="1:5">
      <c r="A649" s="73">
        <v>648</v>
      </c>
      <c r="B649" s="74" t="s">
        <v>116</v>
      </c>
      <c r="C649" s="77">
        <v>11333573</v>
      </c>
      <c r="D649" s="71" t="s">
        <v>774</v>
      </c>
      <c r="E649" s="71" t="s">
        <v>740</v>
      </c>
    </row>
    <row r="650" spans="1:5">
      <c r="A650" s="73">
        <v>649</v>
      </c>
      <c r="B650" s="74" t="s">
        <v>116</v>
      </c>
      <c r="C650" s="77">
        <v>11350893</v>
      </c>
      <c r="D650" s="71" t="s">
        <v>775</v>
      </c>
      <c r="E650" s="71" t="s">
        <v>740</v>
      </c>
    </row>
    <row r="651" spans="1:5">
      <c r="A651" s="73">
        <v>650</v>
      </c>
      <c r="B651" s="74" t="s">
        <v>116</v>
      </c>
      <c r="C651" s="77">
        <v>11321194</v>
      </c>
      <c r="D651" s="71" t="s">
        <v>776</v>
      </c>
      <c r="E651" s="71" t="s">
        <v>740</v>
      </c>
    </row>
    <row r="652" spans="1:5">
      <c r="A652" s="73">
        <v>651</v>
      </c>
      <c r="B652" s="74" t="s">
        <v>116</v>
      </c>
      <c r="C652" s="77">
        <v>11347422</v>
      </c>
      <c r="D652" s="71" t="s">
        <v>777</v>
      </c>
      <c r="E652" s="71" t="s">
        <v>740</v>
      </c>
    </row>
    <row r="653" spans="1:5">
      <c r="A653" s="73">
        <v>652</v>
      </c>
      <c r="B653" s="74" t="s">
        <v>116</v>
      </c>
      <c r="C653" s="77">
        <v>11350058</v>
      </c>
      <c r="D653" s="71" t="s">
        <v>778</v>
      </c>
      <c r="E653" s="71" t="s">
        <v>740</v>
      </c>
    </row>
    <row r="654" spans="1:5">
      <c r="A654" s="73">
        <v>653</v>
      </c>
      <c r="B654" s="74" t="s">
        <v>116</v>
      </c>
      <c r="C654" s="77">
        <v>11347064</v>
      </c>
      <c r="D654" s="71" t="s">
        <v>779</v>
      </c>
      <c r="E654" s="71" t="s">
        <v>740</v>
      </c>
    </row>
    <row r="655" spans="1:5">
      <c r="A655" s="73">
        <v>654</v>
      </c>
      <c r="B655" s="74" t="s">
        <v>116</v>
      </c>
      <c r="C655" s="77">
        <v>11354749</v>
      </c>
      <c r="D655" s="71" t="s">
        <v>780</v>
      </c>
      <c r="E655" s="71" t="s">
        <v>740</v>
      </c>
    </row>
    <row r="656" spans="1:5">
      <c r="A656" s="73">
        <v>655</v>
      </c>
      <c r="B656" s="74" t="s">
        <v>116</v>
      </c>
      <c r="C656" s="77">
        <v>11337008</v>
      </c>
      <c r="D656" s="71" t="s">
        <v>781</v>
      </c>
      <c r="E656" s="71" t="s">
        <v>740</v>
      </c>
    </row>
    <row r="657" spans="1:5">
      <c r="A657" s="73">
        <v>656</v>
      </c>
      <c r="B657" s="74" t="s">
        <v>116</v>
      </c>
      <c r="C657" s="77">
        <v>11354981</v>
      </c>
      <c r="D657" s="71" t="s">
        <v>782</v>
      </c>
      <c r="E657" s="71" t="s">
        <v>740</v>
      </c>
    </row>
    <row r="658" spans="1:5">
      <c r="A658" s="73">
        <v>657</v>
      </c>
      <c r="B658" s="74" t="s">
        <v>116</v>
      </c>
      <c r="C658" s="77">
        <v>11349655</v>
      </c>
      <c r="D658" s="71" t="s">
        <v>783</v>
      </c>
      <c r="E658" s="71" t="s">
        <v>740</v>
      </c>
    </row>
    <row r="659" spans="1:5">
      <c r="A659" s="73">
        <v>658</v>
      </c>
      <c r="B659" s="74" t="s">
        <v>116</v>
      </c>
      <c r="C659" s="77">
        <v>11353081</v>
      </c>
      <c r="D659" s="71" t="s">
        <v>784</v>
      </c>
      <c r="E659" s="71" t="s">
        <v>740</v>
      </c>
    </row>
    <row r="660" spans="1:5">
      <c r="A660" s="73">
        <v>659</v>
      </c>
      <c r="B660" s="74" t="s">
        <v>116</v>
      </c>
      <c r="C660" s="77">
        <v>11350920</v>
      </c>
      <c r="D660" s="71" t="s">
        <v>785</v>
      </c>
      <c r="E660" s="71" t="s">
        <v>740</v>
      </c>
    </row>
    <row r="661" spans="1:5">
      <c r="A661" s="73">
        <v>660</v>
      </c>
      <c r="B661" s="74" t="s">
        <v>116</v>
      </c>
      <c r="C661" s="77">
        <v>11354617</v>
      </c>
      <c r="D661" s="71" t="s">
        <v>786</v>
      </c>
      <c r="E661" s="71" t="s">
        <v>740</v>
      </c>
    </row>
    <row r="662" spans="1:5">
      <c r="A662" s="73">
        <v>661</v>
      </c>
      <c r="B662" s="74" t="s">
        <v>116</v>
      </c>
      <c r="C662" s="77">
        <v>11334749</v>
      </c>
      <c r="D662" s="71" t="s">
        <v>787</v>
      </c>
      <c r="E662" s="71" t="s">
        <v>740</v>
      </c>
    </row>
    <row r="663" spans="1:5">
      <c r="A663" s="73">
        <v>662</v>
      </c>
      <c r="B663" s="74" t="s">
        <v>116</v>
      </c>
      <c r="C663" s="77">
        <v>11353977</v>
      </c>
      <c r="D663" s="71" t="s">
        <v>788</v>
      </c>
      <c r="E663" s="71" t="s">
        <v>740</v>
      </c>
    </row>
    <row r="664" spans="1:5">
      <c r="A664" s="73">
        <v>663</v>
      </c>
      <c r="B664" s="74" t="s">
        <v>116</v>
      </c>
      <c r="C664" s="77">
        <v>11350913</v>
      </c>
      <c r="D664" s="71" t="s">
        <v>789</v>
      </c>
      <c r="E664" s="71" t="s">
        <v>740</v>
      </c>
    </row>
    <row r="665" spans="1:5">
      <c r="A665" s="73">
        <v>664</v>
      </c>
      <c r="B665" s="74" t="s">
        <v>116</v>
      </c>
      <c r="C665" s="77">
        <v>11336277</v>
      </c>
      <c r="D665" s="71" t="s">
        <v>790</v>
      </c>
      <c r="E665" s="71" t="s">
        <v>740</v>
      </c>
    </row>
    <row r="666" spans="1:5">
      <c r="A666" s="73">
        <v>665</v>
      </c>
      <c r="B666" s="74" t="s">
        <v>116</v>
      </c>
      <c r="C666" s="77">
        <v>11336416</v>
      </c>
      <c r="D666" s="71" t="s">
        <v>791</v>
      </c>
      <c r="E666" s="71" t="s">
        <v>740</v>
      </c>
    </row>
    <row r="667" spans="1:5">
      <c r="A667" s="73">
        <v>666</v>
      </c>
      <c r="B667" s="74" t="s">
        <v>116</v>
      </c>
      <c r="C667" s="77">
        <v>11273942</v>
      </c>
      <c r="D667" s="71" t="s">
        <v>792</v>
      </c>
      <c r="E667" s="71" t="s">
        <v>740</v>
      </c>
    </row>
    <row r="668" spans="1:5">
      <c r="A668" s="73">
        <v>667</v>
      </c>
      <c r="B668" s="74" t="s">
        <v>116</v>
      </c>
      <c r="C668" s="77">
        <v>11351225</v>
      </c>
      <c r="D668" s="71" t="s">
        <v>793</v>
      </c>
      <c r="E668" s="71" t="s">
        <v>794</v>
      </c>
    </row>
    <row r="669" spans="1:5">
      <c r="A669" s="73">
        <v>668</v>
      </c>
      <c r="B669" s="74" t="s">
        <v>116</v>
      </c>
      <c r="C669" s="77">
        <v>11334104</v>
      </c>
      <c r="D669" s="71" t="s">
        <v>795</v>
      </c>
      <c r="E669" s="71" t="s">
        <v>794</v>
      </c>
    </row>
    <row r="670" spans="1:5">
      <c r="A670" s="73">
        <v>669</v>
      </c>
      <c r="B670" s="74" t="s">
        <v>116</v>
      </c>
      <c r="C670" s="77">
        <v>11354894</v>
      </c>
      <c r="D670" s="71" t="s">
        <v>796</v>
      </c>
      <c r="E670" s="71" t="s">
        <v>794</v>
      </c>
    </row>
    <row r="671" spans="1:5">
      <c r="A671" s="73">
        <v>670</v>
      </c>
      <c r="B671" s="74" t="s">
        <v>116</v>
      </c>
      <c r="C671" s="77">
        <v>11318125</v>
      </c>
      <c r="D671" s="71" t="s">
        <v>797</v>
      </c>
      <c r="E671" s="71" t="s">
        <v>794</v>
      </c>
    </row>
    <row r="672" spans="1:5">
      <c r="A672" s="73">
        <v>671</v>
      </c>
      <c r="B672" s="74" t="s">
        <v>116</v>
      </c>
      <c r="C672" s="77">
        <v>11354613</v>
      </c>
      <c r="D672" s="71" t="s">
        <v>798</v>
      </c>
      <c r="E672" s="71" t="s">
        <v>794</v>
      </c>
    </row>
    <row r="673" spans="1:5">
      <c r="A673" s="73">
        <v>672</v>
      </c>
      <c r="B673" s="74" t="s">
        <v>116</v>
      </c>
      <c r="C673" s="77">
        <v>11351400</v>
      </c>
      <c r="D673" s="71" t="s">
        <v>799</v>
      </c>
      <c r="E673" s="71" t="s">
        <v>794</v>
      </c>
    </row>
    <row r="674" spans="1:5">
      <c r="A674" s="73">
        <v>673</v>
      </c>
      <c r="B674" s="74" t="s">
        <v>116</v>
      </c>
      <c r="C674" s="77">
        <v>11349671</v>
      </c>
      <c r="D674" s="71" t="s">
        <v>800</v>
      </c>
      <c r="E674" s="71" t="s">
        <v>794</v>
      </c>
    </row>
    <row r="675" spans="1:5">
      <c r="A675" s="73">
        <v>674</v>
      </c>
      <c r="B675" s="74" t="s">
        <v>116</v>
      </c>
      <c r="C675" s="77">
        <v>11350583</v>
      </c>
      <c r="D675" s="71" t="s">
        <v>801</v>
      </c>
      <c r="E675" s="71" t="s">
        <v>794</v>
      </c>
    </row>
    <row r="676" spans="1:5">
      <c r="A676" s="73">
        <v>675</v>
      </c>
      <c r="B676" s="74" t="s">
        <v>116</v>
      </c>
      <c r="C676" s="77">
        <v>11334101</v>
      </c>
      <c r="D676" s="71" t="s">
        <v>802</v>
      </c>
      <c r="E676" s="71" t="s">
        <v>794</v>
      </c>
    </row>
    <row r="677" spans="1:5">
      <c r="A677" s="73">
        <v>676</v>
      </c>
      <c r="B677" s="74" t="s">
        <v>116</v>
      </c>
      <c r="C677" s="77">
        <v>11354185</v>
      </c>
      <c r="D677" s="71" t="s">
        <v>803</v>
      </c>
      <c r="E677" s="71" t="s">
        <v>794</v>
      </c>
    </row>
    <row r="678" spans="1:5">
      <c r="A678" s="73">
        <v>677</v>
      </c>
      <c r="B678" s="74" t="s">
        <v>116</v>
      </c>
      <c r="C678" s="77">
        <v>11349644</v>
      </c>
      <c r="D678" s="71" t="s">
        <v>804</v>
      </c>
      <c r="E678" s="71" t="s">
        <v>794</v>
      </c>
    </row>
    <row r="679" spans="1:5">
      <c r="A679" s="73">
        <v>678</v>
      </c>
      <c r="B679" s="74" t="s">
        <v>116</v>
      </c>
      <c r="C679" s="77">
        <v>11357152</v>
      </c>
      <c r="D679" s="71" t="s">
        <v>805</v>
      </c>
      <c r="E679" s="71" t="s">
        <v>794</v>
      </c>
    </row>
    <row r="680" spans="1:5">
      <c r="A680" s="73">
        <v>679</v>
      </c>
      <c r="B680" s="74" t="s">
        <v>116</v>
      </c>
      <c r="C680" s="77">
        <v>11354500</v>
      </c>
      <c r="D680" s="71" t="s">
        <v>806</v>
      </c>
      <c r="E680" s="71" t="s">
        <v>794</v>
      </c>
    </row>
    <row r="681" spans="1:5">
      <c r="A681" s="73">
        <v>680</v>
      </c>
      <c r="B681" s="74" t="s">
        <v>116</v>
      </c>
      <c r="C681" s="77">
        <v>11333557</v>
      </c>
      <c r="D681" s="71" t="s">
        <v>807</v>
      </c>
      <c r="E681" s="71" t="s">
        <v>794</v>
      </c>
    </row>
    <row r="682" spans="1:5">
      <c r="A682" s="73">
        <v>681</v>
      </c>
      <c r="B682" s="74" t="s">
        <v>116</v>
      </c>
      <c r="C682" s="77">
        <v>11288590</v>
      </c>
      <c r="D682" s="71" t="s">
        <v>808</v>
      </c>
      <c r="E682" s="71" t="s">
        <v>794</v>
      </c>
    </row>
    <row r="683" spans="1:5">
      <c r="A683" s="73">
        <v>682</v>
      </c>
      <c r="B683" s="74" t="s">
        <v>116</v>
      </c>
      <c r="C683" s="77">
        <v>11355428</v>
      </c>
      <c r="D683" s="71" t="s">
        <v>809</v>
      </c>
      <c r="E683" s="71" t="s">
        <v>794</v>
      </c>
    </row>
    <row r="684" spans="1:5">
      <c r="A684" s="73">
        <v>683</v>
      </c>
      <c r="B684" s="74" t="s">
        <v>116</v>
      </c>
      <c r="C684" s="77">
        <v>11354139</v>
      </c>
      <c r="D684" s="71" t="s">
        <v>810</v>
      </c>
      <c r="E684" s="71" t="s">
        <v>794</v>
      </c>
    </row>
    <row r="685" spans="1:5">
      <c r="A685" s="73">
        <v>684</v>
      </c>
      <c r="B685" s="74" t="s">
        <v>116</v>
      </c>
      <c r="C685" s="77">
        <v>11350531</v>
      </c>
      <c r="D685" s="71" t="s">
        <v>811</v>
      </c>
      <c r="E685" s="71" t="s">
        <v>794</v>
      </c>
    </row>
    <row r="686" spans="1:5">
      <c r="A686" s="73">
        <v>685</v>
      </c>
      <c r="B686" s="74" t="s">
        <v>116</v>
      </c>
      <c r="C686" s="77">
        <v>11334399</v>
      </c>
      <c r="D686" s="71" t="s">
        <v>812</v>
      </c>
      <c r="E686" s="71" t="s">
        <v>794</v>
      </c>
    </row>
    <row r="687" spans="1:5">
      <c r="A687" s="73">
        <v>686</v>
      </c>
      <c r="B687" s="74" t="s">
        <v>116</v>
      </c>
      <c r="C687" s="77">
        <v>11352688</v>
      </c>
      <c r="D687" s="71" t="s">
        <v>813</v>
      </c>
      <c r="E687" s="71" t="s">
        <v>794</v>
      </c>
    </row>
    <row r="688" spans="1:5">
      <c r="A688" s="73">
        <v>687</v>
      </c>
      <c r="B688" s="74" t="s">
        <v>116</v>
      </c>
      <c r="C688" s="77">
        <v>11352550</v>
      </c>
      <c r="D688" s="71" t="s">
        <v>814</v>
      </c>
      <c r="E688" s="71" t="s">
        <v>794</v>
      </c>
    </row>
    <row r="689" spans="1:5">
      <c r="A689" s="73">
        <v>688</v>
      </c>
      <c r="B689" s="74" t="s">
        <v>116</v>
      </c>
      <c r="C689" s="77">
        <v>11334376</v>
      </c>
      <c r="D689" s="71" t="s">
        <v>815</v>
      </c>
      <c r="E689" s="71" t="s">
        <v>794</v>
      </c>
    </row>
    <row r="690" spans="1:5">
      <c r="A690" s="73">
        <v>689</v>
      </c>
      <c r="B690" s="74" t="s">
        <v>116</v>
      </c>
      <c r="C690" s="77">
        <v>11336126</v>
      </c>
      <c r="D690" s="71" t="s">
        <v>816</v>
      </c>
      <c r="E690" s="71" t="s">
        <v>794</v>
      </c>
    </row>
    <row r="691" spans="1:5">
      <c r="A691" s="73">
        <v>690</v>
      </c>
      <c r="B691" s="74" t="s">
        <v>116</v>
      </c>
      <c r="C691" s="77">
        <v>11354872</v>
      </c>
      <c r="D691" s="71" t="s">
        <v>817</v>
      </c>
      <c r="E691" s="71" t="s">
        <v>794</v>
      </c>
    </row>
    <row r="692" spans="1:5">
      <c r="A692" s="73">
        <v>691</v>
      </c>
      <c r="B692" s="74" t="s">
        <v>116</v>
      </c>
      <c r="C692" s="77">
        <v>11352102</v>
      </c>
      <c r="D692" s="71" t="s">
        <v>818</v>
      </c>
      <c r="E692" s="71" t="s">
        <v>794</v>
      </c>
    </row>
    <row r="693" spans="1:5">
      <c r="A693" s="73">
        <v>692</v>
      </c>
      <c r="B693" s="74" t="s">
        <v>116</v>
      </c>
      <c r="C693" s="77">
        <v>11351768</v>
      </c>
      <c r="D693" s="71" t="s">
        <v>819</v>
      </c>
      <c r="E693" s="71" t="s">
        <v>794</v>
      </c>
    </row>
    <row r="694" spans="1:5">
      <c r="A694" s="73">
        <v>693</v>
      </c>
      <c r="B694" s="74" t="s">
        <v>116</v>
      </c>
      <c r="C694" s="77">
        <v>11352850</v>
      </c>
      <c r="D694" s="71" t="s">
        <v>820</v>
      </c>
      <c r="E694" s="71" t="s">
        <v>794</v>
      </c>
    </row>
    <row r="695" spans="1:5">
      <c r="A695" s="73">
        <v>694</v>
      </c>
      <c r="B695" s="74" t="s">
        <v>116</v>
      </c>
      <c r="C695" s="77">
        <v>11333562</v>
      </c>
      <c r="D695" s="71" t="s">
        <v>821</v>
      </c>
      <c r="E695" s="71" t="s">
        <v>794</v>
      </c>
    </row>
    <row r="696" spans="1:5">
      <c r="A696" s="73">
        <v>695</v>
      </c>
      <c r="B696" s="74" t="s">
        <v>116</v>
      </c>
      <c r="C696" s="77">
        <v>11351223</v>
      </c>
      <c r="D696" s="71" t="s">
        <v>822</v>
      </c>
      <c r="E696" s="71" t="s">
        <v>794</v>
      </c>
    </row>
    <row r="697" spans="1:5">
      <c r="A697" s="73">
        <v>696</v>
      </c>
      <c r="B697" s="74" t="s">
        <v>116</v>
      </c>
      <c r="C697" s="77">
        <v>11334750</v>
      </c>
      <c r="D697" s="71" t="s">
        <v>823</v>
      </c>
      <c r="E697" s="71" t="s">
        <v>794</v>
      </c>
    </row>
    <row r="698" spans="1:5">
      <c r="A698" s="73">
        <v>697</v>
      </c>
      <c r="B698" s="74" t="s">
        <v>116</v>
      </c>
      <c r="C698" s="77">
        <v>11344824</v>
      </c>
      <c r="D698" s="71" t="s">
        <v>824</v>
      </c>
      <c r="E698" s="71" t="s">
        <v>794</v>
      </c>
    </row>
    <row r="699" spans="1:5">
      <c r="A699" s="73">
        <v>698</v>
      </c>
      <c r="B699" s="74" t="s">
        <v>116</v>
      </c>
      <c r="C699" s="77">
        <v>11335811</v>
      </c>
      <c r="D699" s="71" t="s">
        <v>825</v>
      </c>
      <c r="E699" s="71" t="s">
        <v>794</v>
      </c>
    </row>
    <row r="700" spans="1:5">
      <c r="A700" s="73">
        <v>699</v>
      </c>
      <c r="B700" s="74" t="s">
        <v>116</v>
      </c>
      <c r="C700" s="77">
        <v>11352092</v>
      </c>
      <c r="D700" s="71" t="s">
        <v>826</v>
      </c>
      <c r="E700" s="71" t="s">
        <v>794</v>
      </c>
    </row>
    <row r="701" spans="1:5">
      <c r="A701" s="73">
        <v>700</v>
      </c>
      <c r="B701" s="74" t="s">
        <v>116</v>
      </c>
      <c r="C701" s="77">
        <v>11351535</v>
      </c>
      <c r="D701" s="71" t="s">
        <v>827</v>
      </c>
      <c r="E701" s="71" t="s">
        <v>794</v>
      </c>
    </row>
    <row r="702" spans="1:5">
      <c r="A702" s="73">
        <v>701</v>
      </c>
      <c r="B702" s="74" t="s">
        <v>116</v>
      </c>
      <c r="C702" s="77">
        <v>11338635</v>
      </c>
      <c r="D702" s="71" t="s">
        <v>828</v>
      </c>
      <c r="E702" s="71" t="s">
        <v>794</v>
      </c>
    </row>
    <row r="703" spans="1:5">
      <c r="A703" s="73">
        <v>702</v>
      </c>
      <c r="B703" s="74" t="s">
        <v>116</v>
      </c>
      <c r="C703" s="77">
        <v>11353868</v>
      </c>
      <c r="D703" s="71" t="s">
        <v>829</v>
      </c>
      <c r="E703" s="71" t="s">
        <v>794</v>
      </c>
    </row>
    <row r="704" spans="1:5">
      <c r="A704" s="73">
        <v>703</v>
      </c>
      <c r="B704" s="74" t="s">
        <v>116</v>
      </c>
      <c r="C704" s="77">
        <v>11351319</v>
      </c>
      <c r="D704" s="71" t="s">
        <v>830</v>
      </c>
      <c r="E704" s="71" t="s">
        <v>794</v>
      </c>
    </row>
    <row r="705" spans="1:5">
      <c r="A705" s="73">
        <v>704</v>
      </c>
      <c r="B705" s="74" t="s">
        <v>116</v>
      </c>
      <c r="C705" s="77">
        <v>11352264</v>
      </c>
      <c r="D705" s="71" t="s">
        <v>831</v>
      </c>
      <c r="E705" s="71" t="s">
        <v>794</v>
      </c>
    </row>
    <row r="706" spans="1:5">
      <c r="A706" s="73">
        <v>705</v>
      </c>
      <c r="B706" s="74" t="s">
        <v>116</v>
      </c>
      <c r="C706" s="77">
        <v>11351882</v>
      </c>
      <c r="D706" s="71" t="s">
        <v>832</v>
      </c>
      <c r="E706" s="71" t="s">
        <v>794</v>
      </c>
    </row>
    <row r="707" spans="1:5">
      <c r="A707" s="73">
        <v>706</v>
      </c>
      <c r="B707" s="74" t="s">
        <v>116</v>
      </c>
      <c r="C707" s="77">
        <v>11352607</v>
      </c>
      <c r="D707" s="71" t="s">
        <v>833</v>
      </c>
      <c r="E707" s="71" t="s">
        <v>794</v>
      </c>
    </row>
    <row r="708" spans="1:5">
      <c r="A708" s="73">
        <v>707</v>
      </c>
      <c r="B708" s="74" t="s">
        <v>116</v>
      </c>
      <c r="C708" s="77">
        <v>11354488</v>
      </c>
      <c r="D708" s="71" t="s">
        <v>834</v>
      </c>
      <c r="E708" s="71" t="s">
        <v>794</v>
      </c>
    </row>
    <row r="709" spans="1:5">
      <c r="A709" s="73">
        <v>708</v>
      </c>
      <c r="B709" s="74" t="s">
        <v>116</v>
      </c>
      <c r="C709" s="77">
        <v>11351405</v>
      </c>
      <c r="D709" s="71" t="s">
        <v>835</v>
      </c>
      <c r="E709" s="71" t="s">
        <v>794</v>
      </c>
    </row>
    <row r="710" spans="1:5">
      <c r="A710" s="73">
        <v>709</v>
      </c>
      <c r="B710" s="74" t="s">
        <v>116</v>
      </c>
      <c r="C710" s="77">
        <v>11354511</v>
      </c>
      <c r="D710" s="71" t="s">
        <v>836</v>
      </c>
      <c r="E710" s="71" t="s">
        <v>794</v>
      </c>
    </row>
    <row r="711" spans="1:5">
      <c r="A711" s="73">
        <v>710</v>
      </c>
      <c r="B711" s="74" t="s">
        <v>116</v>
      </c>
      <c r="C711" s="77">
        <v>11351370</v>
      </c>
      <c r="D711" s="71" t="s">
        <v>837</v>
      </c>
      <c r="E711" s="71" t="s">
        <v>794</v>
      </c>
    </row>
    <row r="712" spans="1:5">
      <c r="A712" s="73">
        <v>711</v>
      </c>
      <c r="B712" s="74" t="s">
        <v>116</v>
      </c>
      <c r="C712" s="77">
        <v>11352091</v>
      </c>
      <c r="D712" s="71" t="s">
        <v>838</v>
      </c>
      <c r="E712" s="71" t="s">
        <v>794</v>
      </c>
    </row>
    <row r="713" spans="1:5">
      <c r="A713" s="73">
        <v>712</v>
      </c>
      <c r="B713" s="74" t="s">
        <v>116</v>
      </c>
      <c r="C713" s="77">
        <v>11355383</v>
      </c>
      <c r="D713" s="71" t="s">
        <v>839</v>
      </c>
      <c r="E713" s="71" t="s">
        <v>794</v>
      </c>
    </row>
    <row r="714" spans="1:5">
      <c r="A714" s="73">
        <v>713</v>
      </c>
      <c r="B714" s="74" t="s">
        <v>116</v>
      </c>
      <c r="C714" s="77">
        <v>11351802</v>
      </c>
      <c r="D714" s="71" t="s">
        <v>840</v>
      </c>
      <c r="E714" s="71" t="s">
        <v>794</v>
      </c>
    </row>
    <row r="715" spans="1:5">
      <c r="A715" s="73">
        <v>714</v>
      </c>
      <c r="B715" s="74" t="s">
        <v>116</v>
      </c>
      <c r="C715" s="77">
        <v>11336797</v>
      </c>
      <c r="D715" s="71" t="s">
        <v>841</v>
      </c>
      <c r="E715" s="71" t="s">
        <v>794</v>
      </c>
    </row>
    <row r="716" spans="1:5">
      <c r="A716" s="73">
        <v>715</v>
      </c>
      <c r="B716" s="74" t="s">
        <v>116</v>
      </c>
      <c r="C716" s="77">
        <v>11350027</v>
      </c>
      <c r="D716" s="71" t="s">
        <v>842</v>
      </c>
      <c r="E716" s="71" t="s">
        <v>794</v>
      </c>
    </row>
    <row r="717" spans="1:5">
      <c r="A717" s="73">
        <v>716</v>
      </c>
      <c r="B717" s="74" t="s">
        <v>116</v>
      </c>
      <c r="C717" s="77">
        <v>11354351</v>
      </c>
      <c r="D717" s="71" t="s">
        <v>843</v>
      </c>
      <c r="E717" s="71" t="s">
        <v>794</v>
      </c>
    </row>
    <row r="718" spans="1:5">
      <c r="A718" s="73">
        <v>717</v>
      </c>
      <c r="B718" s="74" t="s">
        <v>116</v>
      </c>
      <c r="C718" s="77">
        <v>11351136</v>
      </c>
      <c r="D718" s="71" t="s">
        <v>844</v>
      </c>
      <c r="E718" s="71" t="s">
        <v>794</v>
      </c>
    </row>
    <row r="719" spans="1:5">
      <c r="A719" s="73">
        <v>718</v>
      </c>
      <c r="B719" s="74" t="s">
        <v>116</v>
      </c>
      <c r="C719" s="77">
        <v>11350928</v>
      </c>
      <c r="D719" s="71" t="s">
        <v>845</v>
      </c>
      <c r="E719" s="71" t="s">
        <v>794</v>
      </c>
    </row>
    <row r="720" spans="1:5">
      <c r="A720" s="73">
        <v>719</v>
      </c>
      <c r="B720" s="74" t="s">
        <v>116</v>
      </c>
      <c r="C720" s="77">
        <v>11352710</v>
      </c>
      <c r="D720" s="71" t="s">
        <v>846</v>
      </c>
      <c r="E720" s="71" t="s">
        <v>794</v>
      </c>
    </row>
    <row r="721" spans="1:5">
      <c r="A721" s="73">
        <v>720</v>
      </c>
      <c r="B721" s="74" t="s">
        <v>116</v>
      </c>
      <c r="C721" s="77">
        <v>11352433</v>
      </c>
      <c r="D721" s="71" t="s">
        <v>847</v>
      </c>
      <c r="E721" s="71" t="s">
        <v>794</v>
      </c>
    </row>
    <row r="722" spans="1:5">
      <c r="A722" s="73">
        <v>721</v>
      </c>
      <c r="B722" s="74" t="s">
        <v>116</v>
      </c>
      <c r="C722" s="77">
        <v>11332277</v>
      </c>
      <c r="D722" s="71" t="s">
        <v>848</v>
      </c>
      <c r="E722" s="71" t="s">
        <v>794</v>
      </c>
    </row>
    <row r="723" spans="1:5">
      <c r="A723" s="73">
        <v>722</v>
      </c>
      <c r="B723" s="74" t="s">
        <v>116</v>
      </c>
      <c r="C723" s="77">
        <v>11334747</v>
      </c>
      <c r="D723" s="71" t="s">
        <v>849</v>
      </c>
      <c r="E723" s="71" t="s">
        <v>794</v>
      </c>
    </row>
    <row r="724" spans="1:5">
      <c r="A724" s="73">
        <v>723</v>
      </c>
      <c r="B724" s="74" t="s">
        <v>116</v>
      </c>
      <c r="C724" s="77">
        <v>11351404</v>
      </c>
      <c r="D724" s="71" t="s">
        <v>850</v>
      </c>
      <c r="E724" s="71" t="s">
        <v>794</v>
      </c>
    </row>
    <row r="725" spans="1:5">
      <c r="A725" s="73">
        <v>724</v>
      </c>
      <c r="B725" s="74" t="s">
        <v>116</v>
      </c>
      <c r="C725" s="77">
        <v>11351430</v>
      </c>
      <c r="D725" s="71" t="s">
        <v>851</v>
      </c>
      <c r="E725" s="71" t="s">
        <v>794</v>
      </c>
    </row>
    <row r="726" spans="1:5">
      <c r="A726" s="73">
        <v>725</v>
      </c>
      <c r="B726" s="74" t="s">
        <v>116</v>
      </c>
      <c r="C726" s="77">
        <v>11349675</v>
      </c>
      <c r="D726" s="71" t="s">
        <v>852</v>
      </c>
      <c r="E726" s="71" t="s">
        <v>794</v>
      </c>
    </row>
    <row r="727" spans="1:5">
      <c r="A727" s="73">
        <v>726</v>
      </c>
      <c r="B727" s="74" t="s">
        <v>116</v>
      </c>
      <c r="C727" s="77">
        <v>11285929</v>
      </c>
      <c r="D727" s="71" t="s">
        <v>853</v>
      </c>
      <c r="E727" s="71" t="s">
        <v>794</v>
      </c>
    </row>
    <row r="728" spans="1:5">
      <c r="A728" s="73">
        <v>727</v>
      </c>
      <c r="B728" s="74" t="s">
        <v>116</v>
      </c>
      <c r="C728" s="77">
        <v>11354826</v>
      </c>
      <c r="D728" s="71" t="s">
        <v>854</v>
      </c>
      <c r="E728" s="71" t="s">
        <v>855</v>
      </c>
    </row>
    <row r="729" spans="1:5">
      <c r="A729" s="73">
        <v>728</v>
      </c>
      <c r="B729" s="74" t="s">
        <v>116</v>
      </c>
      <c r="C729" s="77">
        <v>11351285</v>
      </c>
      <c r="D729" s="71" t="s">
        <v>856</v>
      </c>
      <c r="E729" s="71" t="s">
        <v>855</v>
      </c>
    </row>
    <row r="730" spans="1:5">
      <c r="A730" s="73">
        <v>729</v>
      </c>
      <c r="B730" s="74" t="s">
        <v>116</v>
      </c>
      <c r="C730" s="77">
        <v>11353513</v>
      </c>
      <c r="D730" s="71" t="s">
        <v>857</v>
      </c>
      <c r="E730" s="71" t="s">
        <v>855</v>
      </c>
    </row>
    <row r="731" spans="1:5">
      <c r="A731" s="73">
        <v>730</v>
      </c>
      <c r="B731" s="74" t="s">
        <v>116</v>
      </c>
      <c r="C731" s="77">
        <v>11350729</v>
      </c>
      <c r="D731" s="71" t="s">
        <v>858</v>
      </c>
      <c r="E731" s="71" t="s">
        <v>855</v>
      </c>
    </row>
    <row r="732" spans="1:5">
      <c r="A732" s="73">
        <v>731</v>
      </c>
      <c r="B732" s="74" t="s">
        <v>116</v>
      </c>
      <c r="C732" s="77">
        <v>11355522</v>
      </c>
      <c r="D732" s="71" t="s">
        <v>859</v>
      </c>
      <c r="E732" s="71" t="s">
        <v>855</v>
      </c>
    </row>
    <row r="733" spans="1:5">
      <c r="A733" s="73">
        <v>732</v>
      </c>
      <c r="B733" s="74" t="s">
        <v>116</v>
      </c>
      <c r="C733" s="77">
        <v>11354230</v>
      </c>
      <c r="D733" s="71" t="s">
        <v>860</v>
      </c>
      <c r="E733" s="71" t="s">
        <v>855</v>
      </c>
    </row>
    <row r="734" spans="1:5">
      <c r="A734" s="73">
        <v>733</v>
      </c>
      <c r="B734" s="74" t="s">
        <v>116</v>
      </c>
      <c r="C734" s="77">
        <v>11353786</v>
      </c>
      <c r="D734" s="71" t="s">
        <v>861</v>
      </c>
      <c r="E734" s="71" t="s">
        <v>855</v>
      </c>
    </row>
    <row r="735" spans="1:5">
      <c r="A735" s="73">
        <v>734</v>
      </c>
      <c r="B735" s="74" t="s">
        <v>116</v>
      </c>
      <c r="C735" s="77">
        <v>11338239</v>
      </c>
      <c r="D735" s="71" t="s">
        <v>862</v>
      </c>
      <c r="E735" s="71" t="s">
        <v>855</v>
      </c>
    </row>
    <row r="736" spans="1:5">
      <c r="A736" s="73">
        <v>735</v>
      </c>
      <c r="B736" s="74" t="s">
        <v>116</v>
      </c>
      <c r="C736" s="77">
        <v>11352861</v>
      </c>
      <c r="D736" s="71" t="s">
        <v>863</v>
      </c>
      <c r="E736" s="71" t="s">
        <v>855</v>
      </c>
    </row>
    <row r="737" spans="1:5">
      <c r="A737" s="73">
        <v>736</v>
      </c>
      <c r="B737" s="74" t="s">
        <v>116</v>
      </c>
      <c r="C737" s="77">
        <v>11346927</v>
      </c>
      <c r="D737" s="71" t="s">
        <v>864</v>
      </c>
      <c r="E737" s="71" t="s">
        <v>855</v>
      </c>
    </row>
    <row r="738" spans="1:5">
      <c r="A738" s="73">
        <v>737</v>
      </c>
      <c r="B738" s="74" t="s">
        <v>116</v>
      </c>
      <c r="C738" s="77">
        <v>11353968</v>
      </c>
      <c r="D738" s="71" t="s">
        <v>865</v>
      </c>
      <c r="E738" s="71" t="s">
        <v>855</v>
      </c>
    </row>
    <row r="739" spans="1:5">
      <c r="A739" s="73">
        <v>738</v>
      </c>
      <c r="B739" s="74" t="s">
        <v>116</v>
      </c>
      <c r="C739" s="77">
        <v>11352896</v>
      </c>
      <c r="D739" s="71" t="s">
        <v>866</v>
      </c>
      <c r="E739" s="71" t="s">
        <v>855</v>
      </c>
    </row>
    <row r="740" spans="1:5">
      <c r="A740" s="73">
        <v>739</v>
      </c>
      <c r="B740" s="74" t="s">
        <v>116</v>
      </c>
      <c r="C740" s="77">
        <v>11350352</v>
      </c>
      <c r="D740" s="71" t="s">
        <v>867</v>
      </c>
      <c r="E740" s="71" t="s">
        <v>855</v>
      </c>
    </row>
    <row r="741" spans="1:5">
      <c r="A741" s="73">
        <v>740</v>
      </c>
      <c r="B741" s="74" t="s">
        <v>116</v>
      </c>
      <c r="C741" s="77">
        <v>11352552</v>
      </c>
      <c r="D741" s="71" t="s">
        <v>868</v>
      </c>
      <c r="E741" s="71" t="s">
        <v>855</v>
      </c>
    </row>
    <row r="742" spans="1:5">
      <c r="A742" s="73">
        <v>741</v>
      </c>
      <c r="B742" s="74" t="s">
        <v>116</v>
      </c>
      <c r="C742" s="77">
        <v>11354670</v>
      </c>
      <c r="D742" s="71" t="s">
        <v>869</v>
      </c>
      <c r="E742" s="71" t="s">
        <v>855</v>
      </c>
    </row>
    <row r="743" spans="1:5">
      <c r="A743" s="73">
        <v>742</v>
      </c>
      <c r="B743" s="74" t="s">
        <v>116</v>
      </c>
      <c r="C743" s="77">
        <v>11352957</v>
      </c>
      <c r="D743" s="71" t="s">
        <v>870</v>
      </c>
      <c r="E743" s="71" t="s">
        <v>855</v>
      </c>
    </row>
    <row r="744" spans="1:5">
      <c r="A744" s="73">
        <v>743</v>
      </c>
      <c r="B744" s="74" t="s">
        <v>116</v>
      </c>
      <c r="C744" s="77">
        <v>11352061</v>
      </c>
      <c r="D744" s="71" t="s">
        <v>871</v>
      </c>
      <c r="E744" s="71" t="s">
        <v>855</v>
      </c>
    </row>
    <row r="745" spans="1:5">
      <c r="A745" s="73">
        <v>744</v>
      </c>
      <c r="B745" s="74" t="s">
        <v>116</v>
      </c>
      <c r="C745" s="77">
        <v>11350379</v>
      </c>
      <c r="D745" s="71" t="s">
        <v>872</v>
      </c>
      <c r="E745" s="71" t="s">
        <v>855</v>
      </c>
    </row>
    <row r="746" spans="1:5">
      <c r="A746" s="73">
        <v>745</v>
      </c>
      <c r="B746" s="74" t="s">
        <v>116</v>
      </c>
      <c r="C746" s="77">
        <v>11353723</v>
      </c>
      <c r="D746" s="71" t="s">
        <v>873</v>
      </c>
      <c r="E746" s="71" t="s">
        <v>855</v>
      </c>
    </row>
    <row r="747" spans="1:5">
      <c r="A747" s="73">
        <v>746</v>
      </c>
      <c r="B747" s="74" t="s">
        <v>116</v>
      </c>
      <c r="C747" s="77">
        <v>11351073</v>
      </c>
      <c r="D747" s="71" t="s">
        <v>874</v>
      </c>
      <c r="E747" s="71" t="s">
        <v>855</v>
      </c>
    </row>
    <row r="748" spans="1:5">
      <c r="A748" s="73">
        <v>747</v>
      </c>
      <c r="B748" s="74" t="s">
        <v>116</v>
      </c>
      <c r="C748" s="77">
        <v>11354526</v>
      </c>
      <c r="D748" s="71" t="s">
        <v>875</v>
      </c>
      <c r="E748" s="71" t="s">
        <v>855</v>
      </c>
    </row>
    <row r="749" spans="1:5">
      <c r="A749" s="73">
        <v>748</v>
      </c>
      <c r="B749" s="74" t="s">
        <v>116</v>
      </c>
      <c r="C749" s="77">
        <v>11351748</v>
      </c>
      <c r="D749" s="71" t="s">
        <v>876</v>
      </c>
      <c r="E749" s="71" t="s">
        <v>855</v>
      </c>
    </row>
    <row r="750" spans="1:5">
      <c r="A750" s="73">
        <v>749</v>
      </c>
      <c r="B750" s="74" t="s">
        <v>116</v>
      </c>
      <c r="C750" s="77">
        <v>11352509</v>
      </c>
      <c r="D750" s="71" t="s">
        <v>877</v>
      </c>
      <c r="E750" s="71" t="s">
        <v>855</v>
      </c>
    </row>
    <row r="751" spans="1:5">
      <c r="A751" s="73">
        <v>750</v>
      </c>
      <c r="B751" s="74" t="s">
        <v>116</v>
      </c>
      <c r="C751" s="77">
        <v>11351320</v>
      </c>
      <c r="D751" s="71" t="s">
        <v>878</v>
      </c>
      <c r="E751" s="71" t="s">
        <v>855</v>
      </c>
    </row>
    <row r="752" spans="1:5">
      <c r="A752" s="73">
        <v>751</v>
      </c>
      <c r="B752" s="74" t="s">
        <v>116</v>
      </c>
      <c r="C752" s="77">
        <v>11354403</v>
      </c>
      <c r="D752" s="71" t="s">
        <v>879</v>
      </c>
      <c r="E752" s="71" t="s">
        <v>855</v>
      </c>
    </row>
    <row r="753" spans="1:5">
      <c r="A753" s="73">
        <v>752</v>
      </c>
      <c r="B753" s="74" t="s">
        <v>116</v>
      </c>
      <c r="C753" s="77">
        <v>11352908</v>
      </c>
      <c r="D753" s="71" t="s">
        <v>880</v>
      </c>
      <c r="E753" s="71" t="s">
        <v>855</v>
      </c>
    </row>
    <row r="754" spans="1:5">
      <c r="A754" s="73">
        <v>753</v>
      </c>
      <c r="B754" s="74" t="s">
        <v>116</v>
      </c>
      <c r="C754" s="77">
        <v>11352889</v>
      </c>
      <c r="D754" s="71" t="s">
        <v>881</v>
      </c>
      <c r="E754" s="71" t="s">
        <v>855</v>
      </c>
    </row>
    <row r="755" spans="1:5">
      <c r="A755" s="73">
        <v>754</v>
      </c>
      <c r="B755" s="74" t="s">
        <v>116</v>
      </c>
      <c r="C755" s="77">
        <v>11353083</v>
      </c>
      <c r="D755" s="71" t="s">
        <v>882</v>
      </c>
      <c r="E755" s="71" t="s">
        <v>855</v>
      </c>
    </row>
    <row r="756" spans="1:5">
      <c r="A756" s="73">
        <v>755</v>
      </c>
      <c r="B756" s="74" t="s">
        <v>116</v>
      </c>
      <c r="C756" s="77">
        <v>11352240</v>
      </c>
      <c r="D756" s="71" t="s">
        <v>883</v>
      </c>
      <c r="E756" s="71" t="s">
        <v>855</v>
      </c>
    </row>
    <row r="757" spans="1:5">
      <c r="A757" s="73">
        <v>756</v>
      </c>
      <c r="B757" s="74" t="s">
        <v>116</v>
      </c>
      <c r="C757" s="77">
        <v>11354870</v>
      </c>
      <c r="D757" s="71" t="s">
        <v>884</v>
      </c>
      <c r="E757" s="71" t="s">
        <v>855</v>
      </c>
    </row>
    <row r="758" spans="1:5">
      <c r="A758" s="73">
        <v>757</v>
      </c>
      <c r="B758" s="74" t="s">
        <v>116</v>
      </c>
      <c r="C758" s="77">
        <v>11352403</v>
      </c>
      <c r="D758" s="71" t="s">
        <v>885</v>
      </c>
      <c r="E758" s="71" t="s">
        <v>855</v>
      </c>
    </row>
    <row r="759" spans="1:5">
      <c r="A759" s="73">
        <v>758</v>
      </c>
      <c r="B759" s="74" t="s">
        <v>116</v>
      </c>
      <c r="C759" s="77">
        <v>11352104</v>
      </c>
      <c r="D759" s="71" t="s">
        <v>886</v>
      </c>
      <c r="E759" s="71" t="s">
        <v>855</v>
      </c>
    </row>
    <row r="760" spans="1:5">
      <c r="A760" s="73">
        <v>759</v>
      </c>
      <c r="B760" s="74" t="s">
        <v>116</v>
      </c>
      <c r="C760" s="77">
        <v>11353819</v>
      </c>
      <c r="D760" s="71" t="s">
        <v>887</v>
      </c>
      <c r="E760" s="71" t="s">
        <v>855</v>
      </c>
    </row>
    <row r="761" spans="1:5">
      <c r="A761" s="73">
        <v>760</v>
      </c>
      <c r="B761" s="74" t="s">
        <v>116</v>
      </c>
      <c r="C761" s="77">
        <v>11352874</v>
      </c>
      <c r="D761" s="71" t="s">
        <v>888</v>
      </c>
      <c r="E761" s="71" t="s">
        <v>855</v>
      </c>
    </row>
    <row r="762" spans="1:5">
      <c r="A762" s="73">
        <v>761</v>
      </c>
      <c r="B762" s="74" t="s">
        <v>116</v>
      </c>
      <c r="C762" s="77">
        <v>11354521</v>
      </c>
      <c r="D762" s="71" t="s">
        <v>889</v>
      </c>
      <c r="E762" s="71" t="s">
        <v>855</v>
      </c>
    </row>
    <row r="763" spans="1:5">
      <c r="A763" s="73">
        <v>762</v>
      </c>
      <c r="B763" s="74" t="s">
        <v>116</v>
      </c>
      <c r="C763" s="77">
        <v>11354684</v>
      </c>
      <c r="D763" s="71" t="s">
        <v>890</v>
      </c>
      <c r="E763" s="71" t="s">
        <v>855</v>
      </c>
    </row>
    <row r="764" spans="1:5">
      <c r="A764" s="73">
        <v>763</v>
      </c>
      <c r="B764" s="74" t="s">
        <v>116</v>
      </c>
      <c r="C764" s="77">
        <v>11347403</v>
      </c>
      <c r="D764" s="71" t="s">
        <v>891</v>
      </c>
      <c r="E764" s="71" t="s">
        <v>855</v>
      </c>
    </row>
    <row r="765" spans="1:5">
      <c r="A765" s="73">
        <v>764</v>
      </c>
      <c r="B765" s="74" t="s">
        <v>116</v>
      </c>
      <c r="C765" s="77">
        <v>11353604</v>
      </c>
      <c r="D765" s="71" t="s">
        <v>892</v>
      </c>
      <c r="E765" s="71" t="s">
        <v>855</v>
      </c>
    </row>
    <row r="766" spans="1:5">
      <c r="A766" s="73">
        <v>765</v>
      </c>
      <c r="B766" s="74" t="s">
        <v>116</v>
      </c>
      <c r="C766" s="77">
        <v>11354841</v>
      </c>
      <c r="D766" s="71" t="s">
        <v>893</v>
      </c>
      <c r="E766" s="71" t="s">
        <v>855</v>
      </c>
    </row>
    <row r="767" spans="1:5">
      <c r="A767" s="73">
        <v>766</v>
      </c>
      <c r="B767" s="74" t="s">
        <v>116</v>
      </c>
      <c r="C767" s="77">
        <v>11354401</v>
      </c>
      <c r="D767" s="71" t="s">
        <v>894</v>
      </c>
      <c r="E767" s="71" t="s">
        <v>855</v>
      </c>
    </row>
    <row r="768" spans="1:5">
      <c r="A768" s="73">
        <v>767</v>
      </c>
      <c r="B768" s="74" t="s">
        <v>116</v>
      </c>
      <c r="C768" s="77">
        <v>11354642</v>
      </c>
      <c r="D768" s="71" t="s">
        <v>895</v>
      </c>
      <c r="E768" s="71" t="s">
        <v>855</v>
      </c>
    </row>
    <row r="769" spans="1:5">
      <c r="A769" s="73">
        <v>768</v>
      </c>
      <c r="B769" s="74" t="s">
        <v>116</v>
      </c>
      <c r="C769" s="77">
        <v>11337566</v>
      </c>
      <c r="D769" s="71" t="s">
        <v>896</v>
      </c>
      <c r="E769" s="71" t="s">
        <v>855</v>
      </c>
    </row>
    <row r="770" spans="1:5">
      <c r="A770" s="73">
        <v>769</v>
      </c>
      <c r="B770" s="74" t="s">
        <v>116</v>
      </c>
      <c r="C770" s="77">
        <v>11320050</v>
      </c>
      <c r="D770" s="71" t="s">
        <v>897</v>
      </c>
      <c r="E770" s="71" t="s">
        <v>855</v>
      </c>
    </row>
    <row r="771" spans="1:5">
      <c r="A771" s="73">
        <v>770</v>
      </c>
      <c r="B771" s="74" t="s">
        <v>116</v>
      </c>
      <c r="C771" s="77">
        <v>11354037</v>
      </c>
      <c r="D771" s="71" t="s">
        <v>898</v>
      </c>
      <c r="E771" s="71" t="s">
        <v>855</v>
      </c>
    </row>
    <row r="772" spans="1:5">
      <c r="A772" s="73">
        <v>771</v>
      </c>
      <c r="B772" s="74" t="s">
        <v>116</v>
      </c>
      <c r="C772" s="77">
        <v>11354699</v>
      </c>
      <c r="D772" s="71" t="s">
        <v>899</v>
      </c>
      <c r="E772" s="71" t="s">
        <v>855</v>
      </c>
    </row>
    <row r="773" spans="1:5">
      <c r="A773" s="73">
        <v>772</v>
      </c>
      <c r="B773" s="74" t="s">
        <v>116</v>
      </c>
      <c r="C773" s="77">
        <v>11352892</v>
      </c>
      <c r="D773" s="71" t="s">
        <v>900</v>
      </c>
      <c r="E773" s="71" t="s">
        <v>855</v>
      </c>
    </row>
    <row r="774" spans="1:5">
      <c r="A774" s="73">
        <v>773</v>
      </c>
      <c r="B774" s="74" t="s">
        <v>116</v>
      </c>
      <c r="C774" s="77">
        <v>11350652</v>
      </c>
      <c r="D774" s="71" t="s">
        <v>901</v>
      </c>
      <c r="E774" s="71" t="s">
        <v>855</v>
      </c>
    </row>
    <row r="775" spans="1:5">
      <c r="A775" s="73">
        <v>774</v>
      </c>
      <c r="B775" s="74" t="s">
        <v>116</v>
      </c>
      <c r="C775" s="77">
        <v>11354452</v>
      </c>
      <c r="D775" s="71" t="s">
        <v>902</v>
      </c>
      <c r="E775" s="71" t="s">
        <v>855</v>
      </c>
    </row>
    <row r="776" spans="1:5">
      <c r="A776" s="73">
        <v>775</v>
      </c>
      <c r="B776" s="74" t="s">
        <v>116</v>
      </c>
      <c r="C776" s="77">
        <v>11353826</v>
      </c>
      <c r="D776" s="71" t="s">
        <v>903</v>
      </c>
      <c r="E776" s="71" t="s">
        <v>855</v>
      </c>
    </row>
    <row r="777" spans="1:5">
      <c r="A777" s="73">
        <v>776</v>
      </c>
      <c r="B777" s="74" t="s">
        <v>116</v>
      </c>
      <c r="C777" s="77">
        <v>11351132</v>
      </c>
      <c r="D777" s="71" t="s">
        <v>904</v>
      </c>
      <c r="E777" s="71" t="s">
        <v>855</v>
      </c>
    </row>
    <row r="778" spans="1:5">
      <c r="A778" s="73">
        <v>777</v>
      </c>
      <c r="B778" s="74" t="s">
        <v>116</v>
      </c>
      <c r="C778" s="77">
        <v>11354102</v>
      </c>
      <c r="D778" s="71" t="s">
        <v>905</v>
      </c>
      <c r="E778" s="71" t="s">
        <v>855</v>
      </c>
    </row>
    <row r="779" spans="1:5">
      <c r="A779" s="73">
        <v>778</v>
      </c>
      <c r="B779" s="74" t="s">
        <v>116</v>
      </c>
      <c r="C779" s="77">
        <v>11354504</v>
      </c>
      <c r="D779" s="71" t="s">
        <v>906</v>
      </c>
      <c r="E779" s="71" t="s">
        <v>855</v>
      </c>
    </row>
    <row r="780" spans="1:5">
      <c r="A780" s="73">
        <v>779</v>
      </c>
      <c r="B780" s="74" t="s">
        <v>116</v>
      </c>
      <c r="C780" s="77">
        <v>11354303</v>
      </c>
      <c r="D780" s="71" t="s">
        <v>907</v>
      </c>
      <c r="E780" s="71" t="s">
        <v>855</v>
      </c>
    </row>
    <row r="781" spans="1:5">
      <c r="A781" s="73">
        <v>780</v>
      </c>
      <c r="B781" s="74" t="s">
        <v>116</v>
      </c>
      <c r="C781" s="77">
        <v>11351883</v>
      </c>
      <c r="D781" s="71" t="s">
        <v>908</v>
      </c>
      <c r="E781" s="71" t="s">
        <v>855</v>
      </c>
    </row>
    <row r="782" spans="1:5">
      <c r="A782" s="73">
        <v>781</v>
      </c>
      <c r="B782" s="74" t="s">
        <v>116</v>
      </c>
      <c r="C782" s="77">
        <v>11354891</v>
      </c>
      <c r="D782" s="71" t="s">
        <v>909</v>
      </c>
      <c r="E782" s="71" t="s">
        <v>855</v>
      </c>
    </row>
    <row r="783" spans="1:5">
      <c r="A783" s="73">
        <v>782</v>
      </c>
      <c r="B783" s="74" t="s">
        <v>116</v>
      </c>
      <c r="C783" s="77">
        <v>11338969</v>
      </c>
      <c r="D783" s="71" t="s">
        <v>910</v>
      </c>
      <c r="E783" s="71" t="s">
        <v>855</v>
      </c>
    </row>
    <row r="784" spans="1:5">
      <c r="A784" s="73">
        <v>783</v>
      </c>
      <c r="B784" s="74" t="s">
        <v>116</v>
      </c>
      <c r="C784" s="77">
        <v>11352138</v>
      </c>
      <c r="D784" s="71" t="s">
        <v>911</v>
      </c>
      <c r="E784" s="71" t="s">
        <v>912</v>
      </c>
    </row>
    <row r="785" spans="1:5">
      <c r="A785" s="73">
        <v>784</v>
      </c>
      <c r="B785" s="74" t="s">
        <v>116</v>
      </c>
      <c r="C785" s="77">
        <v>11355305</v>
      </c>
      <c r="D785" s="71" t="s">
        <v>913</v>
      </c>
      <c r="E785" s="71" t="s">
        <v>912</v>
      </c>
    </row>
    <row r="786" spans="1:5">
      <c r="A786" s="73">
        <v>785</v>
      </c>
      <c r="B786" s="74" t="s">
        <v>116</v>
      </c>
      <c r="C786" s="77">
        <v>11354417</v>
      </c>
      <c r="D786" s="71" t="s">
        <v>914</v>
      </c>
      <c r="E786" s="71" t="s">
        <v>912</v>
      </c>
    </row>
    <row r="787" spans="1:5">
      <c r="A787" s="73">
        <v>786</v>
      </c>
      <c r="B787" s="74" t="s">
        <v>116</v>
      </c>
      <c r="C787" s="77">
        <v>11350129</v>
      </c>
      <c r="D787" s="71" t="s">
        <v>915</v>
      </c>
      <c r="E787" s="71" t="s">
        <v>912</v>
      </c>
    </row>
    <row r="788" spans="1:5">
      <c r="A788" s="73">
        <v>787</v>
      </c>
      <c r="B788" s="74" t="s">
        <v>116</v>
      </c>
      <c r="C788" s="77">
        <v>11354744</v>
      </c>
      <c r="D788" s="71" t="s">
        <v>916</v>
      </c>
      <c r="E788" s="71" t="s">
        <v>912</v>
      </c>
    </row>
    <row r="789" spans="1:5">
      <c r="A789" s="73">
        <v>788</v>
      </c>
      <c r="B789" s="74" t="s">
        <v>116</v>
      </c>
      <c r="C789" s="77">
        <v>11333958</v>
      </c>
      <c r="D789" s="71" t="s">
        <v>917</v>
      </c>
      <c r="E789" s="71" t="s">
        <v>912</v>
      </c>
    </row>
    <row r="790" spans="1:5">
      <c r="A790" s="73">
        <v>789</v>
      </c>
      <c r="B790" s="74" t="s">
        <v>116</v>
      </c>
      <c r="C790" s="77">
        <v>11354399</v>
      </c>
      <c r="D790" s="71" t="s">
        <v>918</v>
      </c>
      <c r="E790" s="71" t="s">
        <v>912</v>
      </c>
    </row>
    <row r="791" spans="1:5">
      <c r="A791" s="73">
        <v>790</v>
      </c>
      <c r="B791" s="74" t="s">
        <v>116</v>
      </c>
      <c r="C791" s="77">
        <v>11354558</v>
      </c>
      <c r="D791" s="71" t="s">
        <v>919</v>
      </c>
      <c r="E791" s="71" t="s">
        <v>912</v>
      </c>
    </row>
    <row r="792" spans="1:5">
      <c r="A792" s="73">
        <v>791</v>
      </c>
      <c r="B792" s="74" t="s">
        <v>116</v>
      </c>
      <c r="C792" s="77">
        <v>11355742</v>
      </c>
      <c r="D792" s="71" t="s">
        <v>920</v>
      </c>
      <c r="E792" s="71" t="s">
        <v>912</v>
      </c>
    </row>
    <row r="793" spans="1:5">
      <c r="A793" s="73">
        <v>792</v>
      </c>
      <c r="B793" s="74" t="s">
        <v>116</v>
      </c>
      <c r="C793" s="77">
        <v>11353840</v>
      </c>
      <c r="D793" s="71" t="s">
        <v>921</v>
      </c>
      <c r="E793" s="71" t="s">
        <v>912</v>
      </c>
    </row>
    <row r="794" spans="1:5">
      <c r="A794" s="73">
        <v>793</v>
      </c>
      <c r="B794" s="74" t="s">
        <v>116</v>
      </c>
      <c r="C794" s="77">
        <v>11355496</v>
      </c>
      <c r="D794" s="71" t="s">
        <v>922</v>
      </c>
      <c r="E794" s="71" t="s">
        <v>912</v>
      </c>
    </row>
    <row r="795" spans="1:5">
      <c r="A795" s="73">
        <v>794</v>
      </c>
      <c r="B795" s="74" t="s">
        <v>116</v>
      </c>
      <c r="C795" s="77">
        <v>11354671</v>
      </c>
      <c r="D795" s="71" t="s">
        <v>923</v>
      </c>
      <c r="E795" s="71" t="s">
        <v>912</v>
      </c>
    </row>
    <row r="796" spans="1:5">
      <c r="A796" s="73">
        <v>795</v>
      </c>
      <c r="B796" s="74" t="s">
        <v>116</v>
      </c>
      <c r="C796" s="77">
        <v>11356059</v>
      </c>
      <c r="D796" s="71" t="s">
        <v>924</v>
      </c>
      <c r="E796" s="71" t="s">
        <v>912</v>
      </c>
    </row>
    <row r="797" spans="1:5">
      <c r="A797" s="73">
        <v>796</v>
      </c>
      <c r="B797" s="74" t="s">
        <v>116</v>
      </c>
      <c r="C797" s="77">
        <v>11353855</v>
      </c>
      <c r="D797" s="71" t="s">
        <v>925</v>
      </c>
      <c r="E797" s="71" t="s">
        <v>912</v>
      </c>
    </row>
    <row r="798" spans="1:5">
      <c r="A798" s="73">
        <v>797</v>
      </c>
      <c r="B798" s="74" t="s">
        <v>116</v>
      </c>
      <c r="C798" s="77">
        <v>11338568</v>
      </c>
      <c r="D798" s="71" t="s">
        <v>926</v>
      </c>
      <c r="E798" s="71" t="s">
        <v>912</v>
      </c>
    </row>
    <row r="799" spans="1:5">
      <c r="A799" s="73">
        <v>798</v>
      </c>
      <c r="B799" s="74" t="s">
        <v>116</v>
      </c>
      <c r="C799" s="77">
        <v>11352890</v>
      </c>
      <c r="D799" s="71" t="s">
        <v>927</v>
      </c>
      <c r="E799" s="71" t="s">
        <v>912</v>
      </c>
    </row>
    <row r="800" spans="1:5">
      <c r="A800" s="73">
        <v>799</v>
      </c>
      <c r="B800" s="74" t="s">
        <v>116</v>
      </c>
      <c r="C800" s="77">
        <v>11352583</v>
      </c>
      <c r="D800" s="71" t="s">
        <v>928</v>
      </c>
      <c r="E800" s="71" t="s">
        <v>912</v>
      </c>
    </row>
    <row r="801" spans="1:5">
      <c r="A801" s="73">
        <v>800</v>
      </c>
      <c r="B801" s="74" t="s">
        <v>116</v>
      </c>
      <c r="C801" s="77">
        <v>11351207</v>
      </c>
      <c r="D801" s="71" t="s">
        <v>929</v>
      </c>
      <c r="E801" s="71" t="s">
        <v>912</v>
      </c>
    </row>
    <row r="802" spans="1:5">
      <c r="A802" s="73">
        <v>801</v>
      </c>
      <c r="B802" s="74" t="s">
        <v>116</v>
      </c>
      <c r="C802" s="77">
        <v>11353714</v>
      </c>
      <c r="D802" s="71" t="s">
        <v>930</v>
      </c>
      <c r="E802" s="71" t="s">
        <v>912</v>
      </c>
    </row>
    <row r="803" spans="1:5">
      <c r="A803" s="73">
        <v>802</v>
      </c>
      <c r="B803" s="74" t="s">
        <v>116</v>
      </c>
      <c r="C803" s="77">
        <v>11353444</v>
      </c>
      <c r="D803" s="71" t="s">
        <v>931</v>
      </c>
      <c r="E803" s="71" t="s">
        <v>912</v>
      </c>
    </row>
    <row r="804" spans="1:5">
      <c r="A804" s="73">
        <v>803</v>
      </c>
      <c r="B804" s="74" t="s">
        <v>116</v>
      </c>
      <c r="C804" s="77">
        <v>11322714</v>
      </c>
      <c r="D804" s="71" t="s">
        <v>932</v>
      </c>
      <c r="E804" s="71" t="s">
        <v>912</v>
      </c>
    </row>
    <row r="805" spans="1:5">
      <c r="A805" s="73">
        <v>804</v>
      </c>
      <c r="B805" s="74" t="s">
        <v>116</v>
      </c>
      <c r="C805" s="77">
        <v>11348632</v>
      </c>
      <c r="D805" s="71" t="s">
        <v>933</v>
      </c>
      <c r="E805" s="71" t="s">
        <v>912</v>
      </c>
    </row>
    <row r="806" spans="1:5">
      <c r="A806" s="73">
        <v>805</v>
      </c>
      <c r="B806" s="74" t="s">
        <v>116</v>
      </c>
      <c r="C806" s="77">
        <v>11354678</v>
      </c>
      <c r="D806" s="71" t="s">
        <v>934</v>
      </c>
      <c r="E806" s="71" t="s">
        <v>912</v>
      </c>
    </row>
    <row r="807" spans="1:5">
      <c r="A807" s="73">
        <v>806</v>
      </c>
      <c r="B807" s="74" t="s">
        <v>116</v>
      </c>
      <c r="C807" s="77">
        <v>11350028</v>
      </c>
      <c r="D807" s="71" t="s">
        <v>935</v>
      </c>
      <c r="E807" s="71" t="s">
        <v>912</v>
      </c>
    </row>
    <row r="808" spans="1:5">
      <c r="A808" s="73">
        <v>807</v>
      </c>
      <c r="B808" s="74" t="s">
        <v>116</v>
      </c>
      <c r="C808" s="77">
        <v>11351035</v>
      </c>
      <c r="D808" s="71" t="s">
        <v>936</v>
      </c>
      <c r="E808" s="71" t="s">
        <v>912</v>
      </c>
    </row>
    <row r="809" spans="1:5">
      <c r="A809" s="73">
        <v>808</v>
      </c>
      <c r="B809" s="74" t="s">
        <v>116</v>
      </c>
      <c r="C809" s="77">
        <v>11354216</v>
      </c>
      <c r="D809" s="71" t="s">
        <v>132</v>
      </c>
      <c r="E809" s="71" t="s">
        <v>912</v>
      </c>
    </row>
    <row r="810" spans="1:5">
      <c r="A810" s="73">
        <v>809</v>
      </c>
      <c r="B810" s="74" t="s">
        <v>116</v>
      </c>
      <c r="C810" s="77">
        <v>11351270</v>
      </c>
      <c r="D810" s="71" t="s">
        <v>937</v>
      </c>
      <c r="E810" s="71" t="s">
        <v>912</v>
      </c>
    </row>
    <row r="811" spans="1:5">
      <c r="A811" s="73">
        <v>810</v>
      </c>
      <c r="B811" s="74" t="s">
        <v>116</v>
      </c>
      <c r="C811" s="77">
        <v>11350425</v>
      </c>
      <c r="D811" s="71" t="s">
        <v>938</v>
      </c>
      <c r="E811" s="71" t="s">
        <v>912</v>
      </c>
    </row>
    <row r="812" spans="1:5">
      <c r="A812" s="73">
        <v>811</v>
      </c>
      <c r="B812" s="74" t="s">
        <v>116</v>
      </c>
      <c r="C812" s="77">
        <v>11353106</v>
      </c>
      <c r="D812" s="71" t="s">
        <v>939</v>
      </c>
      <c r="E812" s="71" t="s">
        <v>912</v>
      </c>
    </row>
    <row r="813" spans="1:5">
      <c r="A813" s="73">
        <v>812</v>
      </c>
      <c r="B813" s="74" t="s">
        <v>116</v>
      </c>
      <c r="C813" s="77">
        <v>11353874</v>
      </c>
      <c r="D813" s="71" t="s">
        <v>940</v>
      </c>
      <c r="E813" s="71" t="s">
        <v>912</v>
      </c>
    </row>
    <row r="814" spans="1:5">
      <c r="A814" s="73">
        <v>813</v>
      </c>
      <c r="B814" s="74" t="s">
        <v>116</v>
      </c>
      <c r="C814" s="77">
        <v>11353698</v>
      </c>
      <c r="D814" s="71" t="s">
        <v>941</v>
      </c>
      <c r="E814" s="71" t="s">
        <v>912</v>
      </c>
    </row>
    <row r="815" spans="1:5">
      <c r="A815" s="73">
        <v>814</v>
      </c>
      <c r="B815" s="74" t="s">
        <v>116</v>
      </c>
      <c r="C815" s="77">
        <v>11337851</v>
      </c>
      <c r="D815" s="71" t="s">
        <v>942</v>
      </c>
      <c r="E815" s="71" t="s">
        <v>912</v>
      </c>
    </row>
    <row r="816" spans="1:5">
      <c r="A816" s="73">
        <v>815</v>
      </c>
      <c r="B816" s="74" t="s">
        <v>116</v>
      </c>
      <c r="C816" s="77">
        <v>11352907</v>
      </c>
      <c r="D816" s="71" t="s">
        <v>943</v>
      </c>
      <c r="E816" s="71" t="s">
        <v>912</v>
      </c>
    </row>
    <row r="817" spans="1:5">
      <c r="A817" s="73">
        <v>816</v>
      </c>
      <c r="B817" s="74" t="s">
        <v>116</v>
      </c>
      <c r="C817" s="77">
        <v>11351431</v>
      </c>
      <c r="D817" s="71" t="s">
        <v>944</v>
      </c>
      <c r="E817" s="71" t="s">
        <v>912</v>
      </c>
    </row>
    <row r="818" spans="1:5">
      <c r="A818" s="73">
        <v>817</v>
      </c>
      <c r="B818" s="74" t="s">
        <v>116</v>
      </c>
      <c r="C818" s="77">
        <v>11352901</v>
      </c>
      <c r="D818" s="71" t="s">
        <v>945</v>
      </c>
      <c r="E818" s="71" t="s">
        <v>912</v>
      </c>
    </row>
    <row r="819" spans="1:5">
      <c r="A819" s="73">
        <v>818</v>
      </c>
      <c r="B819" s="74" t="s">
        <v>116</v>
      </c>
      <c r="C819" s="77">
        <v>11350496</v>
      </c>
      <c r="D819" s="71" t="s">
        <v>946</v>
      </c>
      <c r="E819" s="71" t="s">
        <v>912</v>
      </c>
    </row>
    <row r="820" spans="1:5">
      <c r="A820" s="73">
        <v>819</v>
      </c>
      <c r="B820" s="74" t="s">
        <v>116</v>
      </c>
      <c r="C820" s="77">
        <v>11353220</v>
      </c>
      <c r="D820" s="71" t="s">
        <v>947</v>
      </c>
      <c r="E820" s="71" t="s">
        <v>912</v>
      </c>
    </row>
    <row r="821" spans="1:5">
      <c r="A821" s="73">
        <v>820</v>
      </c>
      <c r="B821" s="74" t="s">
        <v>116</v>
      </c>
      <c r="C821" s="77">
        <v>11354784</v>
      </c>
      <c r="D821" s="71" t="s">
        <v>948</v>
      </c>
      <c r="E821" s="71" t="s">
        <v>912</v>
      </c>
    </row>
    <row r="822" spans="1:5">
      <c r="A822" s="73">
        <v>821</v>
      </c>
      <c r="B822" s="74" t="s">
        <v>116</v>
      </c>
      <c r="C822" s="77">
        <v>11352244</v>
      </c>
      <c r="D822" s="71" t="s">
        <v>949</v>
      </c>
      <c r="E822" s="71" t="s">
        <v>912</v>
      </c>
    </row>
    <row r="823" spans="1:5">
      <c r="A823" s="73">
        <v>822</v>
      </c>
      <c r="B823" s="74" t="s">
        <v>116</v>
      </c>
      <c r="C823" s="77">
        <v>11350926</v>
      </c>
      <c r="D823" s="71" t="s">
        <v>950</v>
      </c>
      <c r="E823" s="71" t="s">
        <v>912</v>
      </c>
    </row>
    <row r="824" spans="1:5">
      <c r="A824" s="73">
        <v>823</v>
      </c>
      <c r="B824" s="74" t="s">
        <v>116</v>
      </c>
      <c r="C824" s="77">
        <v>11353770</v>
      </c>
      <c r="D824" s="71" t="s">
        <v>951</v>
      </c>
      <c r="E824" s="71" t="s">
        <v>912</v>
      </c>
    </row>
    <row r="825" spans="1:5">
      <c r="A825" s="73">
        <v>824</v>
      </c>
      <c r="B825" s="74" t="s">
        <v>116</v>
      </c>
      <c r="C825" s="77">
        <v>11354018</v>
      </c>
      <c r="D825" s="71" t="s">
        <v>952</v>
      </c>
      <c r="E825" s="71" t="s">
        <v>912</v>
      </c>
    </row>
    <row r="826" spans="1:5">
      <c r="A826" s="73">
        <v>825</v>
      </c>
      <c r="B826" s="74" t="s">
        <v>116</v>
      </c>
      <c r="C826" s="77">
        <v>11353206</v>
      </c>
      <c r="D826" s="71" t="s">
        <v>953</v>
      </c>
      <c r="E826" s="71" t="s">
        <v>912</v>
      </c>
    </row>
    <row r="827" spans="1:5">
      <c r="A827" s="73">
        <v>826</v>
      </c>
      <c r="B827" s="74" t="s">
        <v>116</v>
      </c>
      <c r="C827" s="77">
        <v>11353110</v>
      </c>
      <c r="D827" s="71" t="s">
        <v>954</v>
      </c>
      <c r="E827" s="71" t="s">
        <v>912</v>
      </c>
    </row>
    <row r="828" spans="1:5">
      <c r="A828" s="73">
        <v>827</v>
      </c>
      <c r="B828" s="74" t="s">
        <v>116</v>
      </c>
      <c r="C828" s="77">
        <v>11352592</v>
      </c>
      <c r="D828" s="71" t="s">
        <v>955</v>
      </c>
      <c r="E828" s="71" t="s">
        <v>912</v>
      </c>
    </row>
    <row r="829" spans="1:5">
      <c r="A829" s="73">
        <v>828</v>
      </c>
      <c r="B829" s="74" t="s">
        <v>116</v>
      </c>
      <c r="C829" s="77">
        <v>11353814</v>
      </c>
      <c r="D829" s="71" t="s">
        <v>956</v>
      </c>
      <c r="E829" s="71" t="s">
        <v>912</v>
      </c>
    </row>
    <row r="830" spans="1:5">
      <c r="A830" s="73">
        <v>829</v>
      </c>
      <c r="B830" s="74" t="s">
        <v>116</v>
      </c>
      <c r="C830" s="77">
        <v>11351428</v>
      </c>
      <c r="D830" s="71" t="s">
        <v>957</v>
      </c>
      <c r="E830" s="71" t="s">
        <v>912</v>
      </c>
    </row>
    <row r="831" spans="1:5">
      <c r="A831" s="73">
        <v>830</v>
      </c>
      <c r="B831" s="74" t="s">
        <v>116</v>
      </c>
      <c r="C831" s="77">
        <v>11354503</v>
      </c>
      <c r="D831" s="71" t="s">
        <v>958</v>
      </c>
      <c r="E831" s="71" t="s">
        <v>912</v>
      </c>
    </row>
    <row r="832" spans="1:5">
      <c r="A832" s="73">
        <v>831</v>
      </c>
      <c r="B832" s="74" t="s">
        <v>116</v>
      </c>
      <c r="C832" s="77">
        <v>11350427</v>
      </c>
      <c r="D832" s="71" t="s">
        <v>959</v>
      </c>
      <c r="E832" s="71" t="s">
        <v>912</v>
      </c>
    </row>
    <row r="833" spans="1:5">
      <c r="A833" s="73">
        <v>832</v>
      </c>
      <c r="B833" s="74" t="s">
        <v>116</v>
      </c>
      <c r="C833" s="77">
        <v>11353957</v>
      </c>
      <c r="D833" s="71" t="s">
        <v>960</v>
      </c>
      <c r="E833" s="71" t="s">
        <v>912</v>
      </c>
    </row>
    <row r="834" spans="1:5">
      <c r="A834" s="73">
        <v>833</v>
      </c>
      <c r="B834" s="74" t="s">
        <v>116</v>
      </c>
      <c r="C834" s="77">
        <v>11352136</v>
      </c>
      <c r="D834" s="71" t="s">
        <v>961</v>
      </c>
      <c r="E834" s="71" t="s">
        <v>912</v>
      </c>
    </row>
    <row r="835" spans="1:5">
      <c r="A835" s="73">
        <v>834</v>
      </c>
      <c r="B835" s="74" t="s">
        <v>116</v>
      </c>
      <c r="C835" s="77">
        <v>11354268</v>
      </c>
      <c r="D835" s="71" t="s">
        <v>962</v>
      </c>
      <c r="E835" s="71" t="s">
        <v>912</v>
      </c>
    </row>
    <row r="836" spans="1:5">
      <c r="A836" s="73">
        <v>835</v>
      </c>
      <c r="B836" s="74" t="s">
        <v>116</v>
      </c>
      <c r="C836" s="77">
        <v>11350184</v>
      </c>
      <c r="D836" s="71" t="s">
        <v>963</v>
      </c>
      <c r="E836" s="71" t="s">
        <v>912</v>
      </c>
    </row>
    <row r="837" spans="1:5">
      <c r="A837" s="73">
        <v>836</v>
      </c>
      <c r="B837" s="74" t="s">
        <v>116</v>
      </c>
      <c r="C837" s="77">
        <v>11354378</v>
      </c>
      <c r="D837" s="71" t="s">
        <v>964</v>
      </c>
      <c r="E837" s="71" t="s">
        <v>912</v>
      </c>
    </row>
    <row r="838" spans="1:5">
      <c r="A838" s="73">
        <v>837</v>
      </c>
      <c r="B838" s="74" t="s">
        <v>116</v>
      </c>
      <c r="C838" s="77">
        <v>11350898</v>
      </c>
      <c r="D838" s="71" t="s">
        <v>965</v>
      </c>
      <c r="E838" s="71" t="s">
        <v>912</v>
      </c>
    </row>
    <row r="839" spans="1:5">
      <c r="A839" s="73">
        <v>838</v>
      </c>
      <c r="B839" s="74" t="s">
        <v>116</v>
      </c>
      <c r="C839" s="77">
        <v>11351284</v>
      </c>
      <c r="D839" s="71" t="s">
        <v>966</v>
      </c>
      <c r="E839" s="71" t="s">
        <v>912</v>
      </c>
    </row>
    <row r="840" spans="1:5">
      <c r="A840" s="73">
        <v>839</v>
      </c>
      <c r="B840" s="74" t="s">
        <v>116</v>
      </c>
      <c r="C840" s="77">
        <v>11354497</v>
      </c>
      <c r="D840" s="71" t="s">
        <v>967</v>
      </c>
      <c r="E840" s="71" t="s">
        <v>912</v>
      </c>
    </row>
    <row r="841" spans="1:5">
      <c r="A841" s="73">
        <v>840</v>
      </c>
      <c r="B841" s="74" t="s">
        <v>116</v>
      </c>
      <c r="C841" s="77">
        <v>11352791</v>
      </c>
      <c r="D841" s="71" t="s">
        <v>968</v>
      </c>
      <c r="E841" s="71" t="s">
        <v>912</v>
      </c>
    </row>
    <row r="842" spans="1:5">
      <c r="A842" s="73">
        <v>841</v>
      </c>
      <c r="B842" s="74" t="s">
        <v>116</v>
      </c>
      <c r="C842" s="77">
        <v>11347319</v>
      </c>
      <c r="D842" s="71" t="s">
        <v>969</v>
      </c>
      <c r="E842" s="71" t="s">
        <v>970</v>
      </c>
    </row>
    <row r="843" spans="1:5">
      <c r="A843" s="73">
        <v>842</v>
      </c>
      <c r="B843" s="74" t="s">
        <v>116</v>
      </c>
      <c r="C843" s="77">
        <v>11353906</v>
      </c>
      <c r="D843" s="71" t="s">
        <v>971</v>
      </c>
      <c r="E843" s="71" t="s">
        <v>970</v>
      </c>
    </row>
    <row r="844" spans="1:5">
      <c r="A844" s="73">
        <v>843</v>
      </c>
      <c r="B844" s="74" t="s">
        <v>116</v>
      </c>
      <c r="C844" s="77">
        <v>11351667</v>
      </c>
      <c r="D844" s="71" t="s">
        <v>972</v>
      </c>
      <c r="E844" s="71" t="s">
        <v>970</v>
      </c>
    </row>
    <row r="845" spans="1:5">
      <c r="A845" s="73">
        <v>844</v>
      </c>
      <c r="B845" s="74" t="s">
        <v>116</v>
      </c>
      <c r="C845" s="77">
        <v>11350089</v>
      </c>
      <c r="D845" s="71" t="s">
        <v>973</v>
      </c>
      <c r="E845" s="71" t="s">
        <v>970</v>
      </c>
    </row>
    <row r="846" spans="1:5">
      <c r="A846" s="73">
        <v>845</v>
      </c>
      <c r="B846" s="74" t="s">
        <v>116</v>
      </c>
      <c r="C846" s="77">
        <v>11354411</v>
      </c>
      <c r="D846" s="71" t="s">
        <v>974</v>
      </c>
      <c r="E846" s="71" t="s">
        <v>970</v>
      </c>
    </row>
    <row r="847" spans="1:5">
      <c r="A847" s="73">
        <v>846</v>
      </c>
      <c r="B847" s="74" t="s">
        <v>116</v>
      </c>
      <c r="C847" s="77">
        <v>11353810</v>
      </c>
      <c r="D847" s="71" t="s">
        <v>975</v>
      </c>
      <c r="E847" s="71" t="s">
        <v>970</v>
      </c>
    </row>
    <row r="848" spans="1:5">
      <c r="A848" s="73">
        <v>847</v>
      </c>
      <c r="B848" s="74" t="s">
        <v>116</v>
      </c>
      <c r="C848" s="77">
        <v>11346774</v>
      </c>
      <c r="D848" s="71" t="s">
        <v>976</v>
      </c>
      <c r="E848" s="71" t="s">
        <v>970</v>
      </c>
    </row>
    <row r="849" spans="1:5">
      <c r="A849" s="73">
        <v>848</v>
      </c>
      <c r="B849" s="74" t="s">
        <v>116</v>
      </c>
      <c r="C849" s="77">
        <v>11353180</v>
      </c>
      <c r="D849" s="71" t="s">
        <v>977</v>
      </c>
      <c r="E849" s="71" t="s">
        <v>970</v>
      </c>
    </row>
    <row r="850" spans="1:5">
      <c r="A850" s="73">
        <v>849</v>
      </c>
      <c r="B850" s="74" t="s">
        <v>116</v>
      </c>
      <c r="C850" s="77">
        <v>11354092</v>
      </c>
      <c r="D850" s="71" t="s">
        <v>978</v>
      </c>
      <c r="E850" s="71" t="s">
        <v>970</v>
      </c>
    </row>
    <row r="851" spans="1:5">
      <c r="A851" s="73">
        <v>850</v>
      </c>
      <c r="B851" s="74" t="s">
        <v>116</v>
      </c>
      <c r="C851" s="77">
        <v>11354365</v>
      </c>
      <c r="D851" s="71" t="s">
        <v>979</v>
      </c>
      <c r="E851" s="71" t="s">
        <v>970</v>
      </c>
    </row>
    <row r="852" spans="1:5">
      <c r="A852" s="73">
        <v>851</v>
      </c>
      <c r="B852" s="74" t="s">
        <v>116</v>
      </c>
      <c r="C852" s="77">
        <v>11351689</v>
      </c>
      <c r="D852" s="71" t="s">
        <v>980</v>
      </c>
      <c r="E852" s="71" t="s">
        <v>970</v>
      </c>
    </row>
    <row r="853" spans="1:5">
      <c r="A853" s="73">
        <v>852</v>
      </c>
      <c r="B853" s="74" t="s">
        <v>116</v>
      </c>
      <c r="C853" s="77">
        <v>11351534</v>
      </c>
      <c r="D853" s="71" t="s">
        <v>981</v>
      </c>
      <c r="E853" s="71" t="s">
        <v>970</v>
      </c>
    </row>
    <row r="854" spans="1:5">
      <c r="A854" s="73">
        <v>853</v>
      </c>
      <c r="B854" s="74" t="s">
        <v>116</v>
      </c>
      <c r="C854" s="77">
        <v>11349953</v>
      </c>
      <c r="D854" s="71" t="s">
        <v>982</v>
      </c>
      <c r="E854" s="71" t="s">
        <v>970</v>
      </c>
    </row>
    <row r="855" spans="1:5">
      <c r="A855" s="73">
        <v>854</v>
      </c>
      <c r="B855" s="74" t="s">
        <v>116</v>
      </c>
      <c r="C855" s="77">
        <v>11322379</v>
      </c>
      <c r="D855" s="71" t="s">
        <v>983</v>
      </c>
      <c r="E855" s="71" t="s">
        <v>970</v>
      </c>
    </row>
    <row r="856" spans="1:5">
      <c r="A856" s="73">
        <v>855</v>
      </c>
      <c r="B856" s="74" t="s">
        <v>116</v>
      </c>
      <c r="C856" s="77">
        <v>11353852</v>
      </c>
      <c r="D856" s="71" t="s">
        <v>984</v>
      </c>
      <c r="E856" s="71" t="s">
        <v>970</v>
      </c>
    </row>
    <row r="857" spans="1:5">
      <c r="A857" s="73">
        <v>856</v>
      </c>
      <c r="B857" s="74" t="s">
        <v>116</v>
      </c>
      <c r="C857" s="77">
        <v>11352103</v>
      </c>
      <c r="D857" s="71" t="s">
        <v>985</v>
      </c>
      <c r="E857" s="71" t="s">
        <v>970</v>
      </c>
    </row>
    <row r="858" spans="1:5">
      <c r="A858" s="73">
        <v>857</v>
      </c>
      <c r="B858" s="74" t="s">
        <v>116</v>
      </c>
      <c r="C858" s="77">
        <v>11353886</v>
      </c>
      <c r="D858" s="71" t="s">
        <v>986</v>
      </c>
      <c r="E858" s="71" t="s">
        <v>970</v>
      </c>
    </row>
    <row r="859" spans="1:5">
      <c r="A859" s="73">
        <v>858</v>
      </c>
      <c r="B859" s="74" t="s">
        <v>116</v>
      </c>
      <c r="C859" s="77">
        <v>11354191</v>
      </c>
      <c r="D859" s="71" t="s">
        <v>987</v>
      </c>
      <c r="E859" s="71" t="s">
        <v>970</v>
      </c>
    </row>
    <row r="860" spans="1:5">
      <c r="A860" s="73">
        <v>859</v>
      </c>
      <c r="B860" s="74" t="s">
        <v>116</v>
      </c>
      <c r="C860" s="77">
        <v>11354395</v>
      </c>
      <c r="D860" s="71" t="s">
        <v>988</v>
      </c>
      <c r="E860" s="71" t="s">
        <v>970</v>
      </c>
    </row>
    <row r="861" spans="1:5">
      <c r="A861" s="73">
        <v>860</v>
      </c>
      <c r="B861" s="74" t="s">
        <v>116</v>
      </c>
      <c r="C861" s="77">
        <v>11354265</v>
      </c>
      <c r="D861" s="71" t="s">
        <v>989</v>
      </c>
      <c r="E861" s="71" t="s">
        <v>970</v>
      </c>
    </row>
    <row r="862" spans="1:5">
      <c r="A862" s="73">
        <v>861</v>
      </c>
      <c r="B862" s="74" t="s">
        <v>116</v>
      </c>
      <c r="C862" s="77">
        <v>11352487</v>
      </c>
      <c r="D862" s="71" t="s">
        <v>990</v>
      </c>
      <c r="E862" s="71" t="s">
        <v>970</v>
      </c>
    </row>
    <row r="863" spans="1:5">
      <c r="A863" s="73">
        <v>862</v>
      </c>
      <c r="B863" s="74" t="s">
        <v>116</v>
      </c>
      <c r="C863" s="77">
        <v>11352687</v>
      </c>
      <c r="D863" s="71" t="s">
        <v>991</v>
      </c>
      <c r="E863" s="71" t="s">
        <v>970</v>
      </c>
    </row>
    <row r="864" spans="1:5">
      <c r="A864" s="73">
        <v>863</v>
      </c>
      <c r="B864" s="74" t="s">
        <v>116</v>
      </c>
      <c r="C864" s="77">
        <v>11353036</v>
      </c>
      <c r="D864" s="71" t="s">
        <v>992</v>
      </c>
      <c r="E864" s="71" t="s">
        <v>970</v>
      </c>
    </row>
    <row r="865" spans="1:5">
      <c r="A865" s="73">
        <v>864</v>
      </c>
      <c r="B865" s="74" t="s">
        <v>116</v>
      </c>
      <c r="C865" s="77">
        <v>11351765</v>
      </c>
      <c r="D865" s="71" t="s">
        <v>993</v>
      </c>
      <c r="E865" s="71" t="s">
        <v>970</v>
      </c>
    </row>
    <row r="866" spans="1:5">
      <c r="A866" s="73">
        <v>865</v>
      </c>
      <c r="B866" s="74" t="s">
        <v>116</v>
      </c>
      <c r="C866" s="77">
        <v>11352697</v>
      </c>
      <c r="D866" s="71" t="s">
        <v>994</v>
      </c>
      <c r="E866" s="71" t="s">
        <v>970</v>
      </c>
    </row>
    <row r="867" spans="1:5">
      <c r="A867" s="73">
        <v>866</v>
      </c>
      <c r="B867" s="74" t="s">
        <v>116</v>
      </c>
      <c r="C867" s="77">
        <v>11353433</v>
      </c>
      <c r="D867" s="71" t="s">
        <v>995</v>
      </c>
      <c r="E867" s="71" t="s">
        <v>970</v>
      </c>
    </row>
    <row r="868" spans="1:5">
      <c r="A868" s="73">
        <v>867</v>
      </c>
      <c r="B868" s="74" t="s">
        <v>116</v>
      </c>
      <c r="C868" s="77">
        <v>11351779</v>
      </c>
      <c r="D868" s="71" t="s">
        <v>996</v>
      </c>
      <c r="E868" s="71" t="s">
        <v>970</v>
      </c>
    </row>
    <row r="869" spans="1:5">
      <c r="A869" s="73">
        <v>868</v>
      </c>
      <c r="B869" s="74" t="s">
        <v>116</v>
      </c>
      <c r="C869" s="77">
        <v>11350793</v>
      </c>
      <c r="D869" s="71" t="s">
        <v>997</v>
      </c>
      <c r="E869" s="71" t="s">
        <v>970</v>
      </c>
    </row>
    <row r="870" spans="1:5">
      <c r="A870" s="73">
        <v>869</v>
      </c>
      <c r="B870" s="74" t="s">
        <v>116</v>
      </c>
      <c r="C870" s="77">
        <v>11351429</v>
      </c>
      <c r="D870" s="71" t="s">
        <v>998</v>
      </c>
      <c r="E870" s="71" t="s">
        <v>970</v>
      </c>
    </row>
    <row r="871" spans="1:5">
      <c r="A871" s="73">
        <v>870</v>
      </c>
      <c r="B871" s="74" t="s">
        <v>116</v>
      </c>
      <c r="C871" s="77">
        <v>11349804</v>
      </c>
      <c r="D871" s="71" t="s">
        <v>999</v>
      </c>
      <c r="E871" s="71" t="s">
        <v>970</v>
      </c>
    </row>
    <row r="872" spans="1:5">
      <c r="A872" s="73">
        <v>871</v>
      </c>
      <c r="B872" s="74" t="s">
        <v>116</v>
      </c>
      <c r="C872" s="77">
        <v>11354212</v>
      </c>
      <c r="D872" s="71" t="s">
        <v>1000</v>
      </c>
      <c r="E872" s="71" t="s">
        <v>970</v>
      </c>
    </row>
    <row r="873" spans="1:5">
      <c r="A873" s="73">
        <v>872</v>
      </c>
      <c r="B873" s="74" t="s">
        <v>116</v>
      </c>
      <c r="C873" s="77">
        <v>11354325</v>
      </c>
      <c r="D873" s="71" t="s">
        <v>1001</v>
      </c>
      <c r="E873" s="71" t="s">
        <v>970</v>
      </c>
    </row>
    <row r="874" spans="1:5">
      <c r="A874" s="73">
        <v>873</v>
      </c>
      <c r="B874" s="74" t="s">
        <v>116</v>
      </c>
      <c r="C874" s="77">
        <v>11351386</v>
      </c>
      <c r="D874" s="71" t="s">
        <v>1002</v>
      </c>
      <c r="E874" s="71" t="s">
        <v>970</v>
      </c>
    </row>
    <row r="875" spans="1:5">
      <c r="A875" s="73">
        <v>874</v>
      </c>
      <c r="B875" s="74" t="s">
        <v>116</v>
      </c>
      <c r="C875" s="77">
        <v>11352257</v>
      </c>
      <c r="D875" s="71" t="s">
        <v>1003</v>
      </c>
      <c r="E875" s="71" t="s">
        <v>970</v>
      </c>
    </row>
    <row r="876" spans="1:5">
      <c r="A876" s="73">
        <v>875</v>
      </c>
      <c r="B876" s="74" t="s">
        <v>116</v>
      </c>
      <c r="C876" s="77">
        <v>11353295</v>
      </c>
      <c r="D876" s="71" t="s">
        <v>1004</v>
      </c>
      <c r="E876" s="71" t="s">
        <v>970</v>
      </c>
    </row>
    <row r="877" spans="1:5">
      <c r="A877" s="73">
        <v>876</v>
      </c>
      <c r="B877" s="74" t="s">
        <v>116</v>
      </c>
      <c r="C877" s="77">
        <v>11352828</v>
      </c>
      <c r="D877" s="71" t="s">
        <v>1005</v>
      </c>
      <c r="E877" s="71" t="s">
        <v>970</v>
      </c>
    </row>
    <row r="878" spans="1:5">
      <c r="A878" s="73">
        <v>877</v>
      </c>
      <c r="B878" s="74" t="s">
        <v>116</v>
      </c>
      <c r="C878" s="77">
        <v>11352065</v>
      </c>
      <c r="D878" s="71" t="s">
        <v>1006</v>
      </c>
      <c r="E878" s="71" t="s">
        <v>970</v>
      </c>
    </row>
    <row r="879" spans="1:5">
      <c r="A879" s="73">
        <v>878</v>
      </c>
      <c r="B879" s="74" t="s">
        <v>116</v>
      </c>
      <c r="C879" s="77">
        <v>11353816</v>
      </c>
      <c r="D879" s="71" t="s">
        <v>1007</v>
      </c>
      <c r="E879" s="71" t="s">
        <v>970</v>
      </c>
    </row>
    <row r="880" spans="1:5">
      <c r="A880" s="73">
        <v>879</v>
      </c>
      <c r="B880" s="74" t="s">
        <v>116</v>
      </c>
      <c r="C880" s="77">
        <v>11353802</v>
      </c>
      <c r="D880" s="71" t="s">
        <v>1008</v>
      </c>
      <c r="E880" s="71" t="s">
        <v>970</v>
      </c>
    </row>
    <row r="881" spans="1:5">
      <c r="A881" s="73">
        <v>880</v>
      </c>
      <c r="B881" s="74" t="s">
        <v>116</v>
      </c>
      <c r="C881" s="77">
        <v>11353216</v>
      </c>
      <c r="D881" s="71" t="s">
        <v>944</v>
      </c>
      <c r="E881" s="71" t="s">
        <v>970</v>
      </c>
    </row>
    <row r="882" spans="1:5">
      <c r="A882" s="73">
        <v>881</v>
      </c>
      <c r="B882" s="74" t="s">
        <v>116</v>
      </c>
      <c r="C882" s="77">
        <v>11353960</v>
      </c>
      <c r="D882" s="71" t="s">
        <v>1009</v>
      </c>
      <c r="E882" s="71" t="s">
        <v>970</v>
      </c>
    </row>
    <row r="883" spans="1:5">
      <c r="A883" s="73">
        <v>882</v>
      </c>
      <c r="B883" s="74" t="s">
        <v>116</v>
      </c>
      <c r="C883" s="77">
        <v>11354046</v>
      </c>
      <c r="D883" s="71" t="s">
        <v>1010</v>
      </c>
      <c r="E883" s="71" t="s">
        <v>970</v>
      </c>
    </row>
    <row r="884" spans="1:5">
      <c r="A884" s="73">
        <v>883</v>
      </c>
      <c r="B884" s="74" t="s">
        <v>116</v>
      </c>
      <c r="C884" s="77">
        <v>11354485</v>
      </c>
      <c r="D884" s="71" t="s">
        <v>1011</v>
      </c>
      <c r="E884" s="71" t="s">
        <v>970</v>
      </c>
    </row>
    <row r="885" spans="1:5">
      <c r="A885" s="73">
        <v>884</v>
      </c>
      <c r="B885" s="74" t="s">
        <v>116</v>
      </c>
      <c r="C885" s="77">
        <v>11351869</v>
      </c>
      <c r="D885" s="71" t="s">
        <v>1012</v>
      </c>
      <c r="E885" s="71" t="s">
        <v>970</v>
      </c>
    </row>
    <row r="886" spans="1:5">
      <c r="A886" s="73">
        <v>885</v>
      </c>
      <c r="B886" s="74" t="s">
        <v>116</v>
      </c>
      <c r="C886" s="77">
        <v>11353739</v>
      </c>
      <c r="D886" s="71" t="s">
        <v>1013</v>
      </c>
      <c r="E886" s="71" t="s">
        <v>970</v>
      </c>
    </row>
    <row r="887" spans="1:5">
      <c r="A887" s="73">
        <v>886</v>
      </c>
      <c r="B887" s="74" t="s">
        <v>116</v>
      </c>
      <c r="C887" s="77">
        <v>11354720</v>
      </c>
      <c r="D887" s="71" t="s">
        <v>1014</v>
      </c>
      <c r="E887" s="71" t="s">
        <v>970</v>
      </c>
    </row>
    <row r="888" spans="1:5">
      <c r="A888" s="73">
        <v>887</v>
      </c>
      <c r="B888" s="74" t="s">
        <v>116</v>
      </c>
      <c r="C888" s="77">
        <v>11353763</v>
      </c>
      <c r="D888" s="71" t="s">
        <v>1015</v>
      </c>
      <c r="E888" s="71" t="s">
        <v>970</v>
      </c>
    </row>
    <row r="889" spans="1:5">
      <c r="A889" s="73">
        <v>888</v>
      </c>
      <c r="B889" s="74" t="s">
        <v>116</v>
      </c>
      <c r="C889" s="77">
        <v>11351402</v>
      </c>
      <c r="D889" s="71" t="s">
        <v>1016</v>
      </c>
      <c r="E889" s="71" t="s">
        <v>970</v>
      </c>
    </row>
    <row r="890" spans="1:5">
      <c r="A890" s="73">
        <v>889</v>
      </c>
      <c r="B890" s="74" t="s">
        <v>116</v>
      </c>
      <c r="C890" s="77">
        <v>11353381</v>
      </c>
      <c r="D890" s="71" t="s">
        <v>1017</v>
      </c>
      <c r="E890" s="71" t="s">
        <v>970</v>
      </c>
    </row>
    <row r="891" spans="1:5">
      <c r="A891" s="73">
        <v>890</v>
      </c>
      <c r="B891" s="74" t="s">
        <v>116</v>
      </c>
      <c r="C891" s="77">
        <v>11353624</v>
      </c>
      <c r="D891" s="71" t="s">
        <v>1018</v>
      </c>
      <c r="E891" s="71" t="s">
        <v>970</v>
      </c>
    </row>
    <row r="892" spans="1:5">
      <c r="A892" s="73">
        <v>891</v>
      </c>
      <c r="B892" s="74" t="s">
        <v>116</v>
      </c>
      <c r="C892" s="77">
        <v>11355262</v>
      </c>
      <c r="D892" s="71" t="s">
        <v>1019</v>
      </c>
      <c r="E892" s="71" t="s">
        <v>970</v>
      </c>
    </row>
    <row r="893" spans="1:5">
      <c r="A893" s="73">
        <v>892</v>
      </c>
      <c r="B893" s="74" t="s">
        <v>116</v>
      </c>
      <c r="C893" s="77">
        <v>11354019</v>
      </c>
      <c r="D893" s="71" t="s">
        <v>1020</v>
      </c>
      <c r="E893" s="71" t="s">
        <v>970</v>
      </c>
    </row>
    <row r="894" spans="1:5">
      <c r="A894" s="73">
        <v>893</v>
      </c>
      <c r="B894" s="74" t="s">
        <v>116</v>
      </c>
      <c r="C894" s="77">
        <v>11337709</v>
      </c>
      <c r="D894" s="71" t="s">
        <v>1021</v>
      </c>
      <c r="E894" s="71" t="s">
        <v>970</v>
      </c>
    </row>
    <row r="895" spans="1:5">
      <c r="A895" s="73">
        <v>894</v>
      </c>
      <c r="B895" s="74" t="s">
        <v>116</v>
      </c>
      <c r="C895" s="77">
        <v>11351536</v>
      </c>
      <c r="D895" s="71" t="s">
        <v>1022</v>
      </c>
      <c r="E895" s="71" t="s">
        <v>970</v>
      </c>
    </row>
    <row r="896" spans="1:5">
      <c r="A896" s="73">
        <v>895</v>
      </c>
      <c r="B896" s="74" t="s">
        <v>116</v>
      </c>
      <c r="C896" s="77">
        <v>11325838</v>
      </c>
      <c r="D896" s="71" t="s">
        <v>1023</v>
      </c>
      <c r="E896" s="71" t="s">
        <v>970</v>
      </c>
    </row>
    <row r="897" spans="1:5">
      <c r="A897" s="73">
        <v>896</v>
      </c>
      <c r="B897" s="74" t="s">
        <v>116</v>
      </c>
      <c r="C897" s="77">
        <v>11352132</v>
      </c>
      <c r="D897" s="71" t="s">
        <v>1024</v>
      </c>
      <c r="E897" s="71" t="s">
        <v>970</v>
      </c>
    </row>
    <row r="898" spans="1:5">
      <c r="A898" s="73">
        <v>897</v>
      </c>
      <c r="B898" s="74" t="s">
        <v>116</v>
      </c>
      <c r="C898" s="77">
        <v>11354754</v>
      </c>
      <c r="D898" s="71" t="s">
        <v>1025</v>
      </c>
      <c r="E898" s="71" t="s">
        <v>970</v>
      </c>
    </row>
    <row r="899" spans="1:5">
      <c r="A899" s="73">
        <v>898</v>
      </c>
      <c r="B899" s="74" t="s">
        <v>116</v>
      </c>
      <c r="C899" s="77">
        <v>11352095</v>
      </c>
      <c r="D899" s="71" t="s">
        <v>1026</v>
      </c>
      <c r="E899" s="71" t="s">
        <v>970</v>
      </c>
    </row>
    <row r="900" spans="1:5">
      <c r="A900" s="73">
        <v>899</v>
      </c>
      <c r="B900" s="74" t="s">
        <v>116</v>
      </c>
      <c r="C900" s="77">
        <v>11354412</v>
      </c>
      <c r="D900" s="71" t="s">
        <v>1027</v>
      </c>
      <c r="E900" s="71" t="s">
        <v>970</v>
      </c>
    </row>
    <row r="901" spans="1:5">
      <c r="A901" s="73">
        <v>900</v>
      </c>
      <c r="B901" s="74" t="s">
        <v>116</v>
      </c>
      <c r="C901" s="77">
        <v>11350731</v>
      </c>
      <c r="D901" s="71" t="s">
        <v>1028</v>
      </c>
      <c r="E901" s="71" t="s">
        <v>1029</v>
      </c>
    </row>
    <row r="902" spans="1:5">
      <c r="A902" s="73">
        <v>901</v>
      </c>
      <c r="B902" s="74" t="s">
        <v>116</v>
      </c>
      <c r="C902" s="77">
        <v>11354725</v>
      </c>
      <c r="D902" s="71" t="s">
        <v>1030</v>
      </c>
      <c r="E902" s="71" t="s">
        <v>1029</v>
      </c>
    </row>
    <row r="903" spans="1:5">
      <c r="A903" s="73">
        <v>902</v>
      </c>
      <c r="B903" s="74" t="s">
        <v>116</v>
      </c>
      <c r="C903" s="77">
        <v>11352423</v>
      </c>
      <c r="D903" s="71" t="s">
        <v>1031</v>
      </c>
      <c r="E903" s="71" t="s">
        <v>1029</v>
      </c>
    </row>
    <row r="904" spans="1:5">
      <c r="A904" s="73">
        <v>903</v>
      </c>
      <c r="B904" s="74" t="s">
        <v>116</v>
      </c>
      <c r="C904" s="77">
        <v>11354855</v>
      </c>
      <c r="D904" s="71" t="s">
        <v>1032</v>
      </c>
      <c r="E904" s="71" t="s">
        <v>1029</v>
      </c>
    </row>
    <row r="905" spans="1:5">
      <c r="A905" s="73">
        <v>904</v>
      </c>
      <c r="B905" s="74" t="s">
        <v>116</v>
      </c>
      <c r="C905" s="77">
        <v>11354854</v>
      </c>
      <c r="D905" s="71" t="s">
        <v>1033</v>
      </c>
      <c r="E905" s="71" t="s">
        <v>1029</v>
      </c>
    </row>
    <row r="906" spans="1:5">
      <c r="A906" s="73">
        <v>905</v>
      </c>
      <c r="B906" s="74" t="s">
        <v>116</v>
      </c>
      <c r="C906" s="77">
        <v>11354228</v>
      </c>
      <c r="D906" s="71" t="s">
        <v>1034</v>
      </c>
      <c r="E906" s="71" t="s">
        <v>1029</v>
      </c>
    </row>
    <row r="907" spans="1:5">
      <c r="A907" s="73">
        <v>906</v>
      </c>
      <c r="B907" s="74" t="s">
        <v>116</v>
      </c>
      <c r="C907" s="77">
        <v>11354527</v>
      </c>
      <c r="D907" s="71" t="s">
        <v>1035</v>
      </c>
      <c r="E907" s="71" t="s">
        <v>1029</v>
      </c>
    </row>
    <row r="908" spans="1:5">
      <c r="A908" s="73">
        <v>907</v>
      </c>
      <c r="B908" s="74" t="s">
        <v>116</v>
      </c>
      <c r="C908" s="77">
        <v>11354367</v>
      </c>
      <c r="D908" s="71" t="s">
        <v>1036</v>
      </c>
      <c r="E908" s="71" t="s">
        <v>1029</v>
      </c>
    </row>
    <row r="909" spans="1:5">
      <c r="A909" s="73">
        <v>908</v>
      </c>
      <c r="B909" s="74" t="s">
        <v>116</v>
      </c>
      <c r="C909" s="77">
        <v>11354194</v>
      </c>
      <c r="D909" s="71" t="s">
        <v>1037</v>
      </c>
      <c r="E909" s="71" t="s">
        <v>1029</v>
      </c>
    </row>
    <row r="910" spans="1:5">
      <c r="A910" s="73">
        <v>909</v>
      </c>
      <c r="B910" s="74" t="s">
        <v>116</v>
      </c>
      <c r="C910" s="77">
        <v>11354277</v>
      </c>
      <c r="D910" s="71" t="s">
        <v>1038</v>
      </c>
      <c r="E910" s="71" t="s">
        <v>1029</v>
      </c>
    </row>
    <row r="911" spans="1:5">
      <c r="A911" s="73">
        <v>910</v>
      </c>
      <c r="B911" s="74" t="s">
        <v>116</v>
      </c>
      <c r="C911" s="77">
        <v>11353857</v>
      </c>
      <c r="D911" s="71" t="s">
        <v>1039</v>
      </c>
      <c r="E911" s="71" t="s">
        <v>1029</v>
      </c>
    </row>
    <row r="912" spans="1:5">
      <c r="A912" s="73">
        <v>911</v>
      </c>
      <c r="B912" s="74" t="s">
        <v>116</v>
      </c>
      <c r="C912" s="77">
        <v>11352340</v>
      </c>
      <c r="D912" s="71" t="s">
        <v>1040</v>
      </c>
      <c r="E912" s="71" t="s">
        <v>1029</v>
      </c>
    </row>
    <row r="913" spans="1:5">
      <c r="A913" s="73">
        <v>912</v>
      </c>
      <c r="B913" s="74" t="s">
        <v>116</v>
      </c>
      <c r="C913" s="77">
        <v>11352958</v>
      </c>
      <c r="D913" s="71" t="s">
        <v>1041</v>
      </c>
      <c r="E913" s="71" t="s">
        <v>1029</v>
      </c>
    </row>
    <row r="914" spans="1:5">
      <c r="A914" s="73">
        <v>913</v>
      </c>
      <c r="B914" s="74" t="s">
        <v>116</v>
      </c>
      <c r="C914" s="77">
        <v>11338945</v>
      </c>
      <c r="D914" s="71" t="s">
        <v>1042</v>
      </c>
      <c r="E914" s="71" t="s">
        <v>1029</v>
      </c>
    </row>
    <row r="915" spans="1:5">
      <c r="A915" s="73">
        <v>914</v>
      </c>
      <c r="B915" s="74" t="s">
        <v>116</v>
      </c>
      <c r="C915" s="77">
        <v>11354274</v>
      </c>
      <c r="D915" s="71" t="s">
        <v>1043</v>
      </c>
      <c r="E915" s="71" t="s">
        <v>1029</v>
      </c>
    </row>
    <row r="916" spans="1:5">
      <c r="A916" s="73">
        <v>915</v>
      </c>
      <c r="B916" s="74" t="s">
        <v>116</v>
      </c>
      <c r="C916" s="77">
        <v>11353109</v>
      </c>
      <c r="D916" s="71" t="s">
        <v>1044</v>
      </c>
      <c r="E916" s="71" t="s">
        <v>1029</v>
      </c>
    </row>
    <row r="917" spans="1:5">
      <c r="A917" s="73">
        <v>916</v>
      </c>
      <c r="B917" s="74" t="s">
        <v>116</v>
      </c>
      <c r="C917" s="77">
        <v>11350801</v>
      </c>
      <c r="D917" s="71" t="s">
        <v>1045</v>
      </c>
      <c r="E917" s="71" t="s">
        <v>1029</v>
      </c>
    </row>
    <row r="918" spans="1:5">
      <c r="A918" s="73">
        <v>917</v>
      </c>
      <c r="B918" s="74" t="s">
        <v>116</v>
      </c>
      <c r="C918" s="77">
        <v>11345238</v>
      </c>
      <c r="D918" s="71" t="s">
        <v>1046</v>
      </c>
      <c r="E918" s="71" t="s">
        <v>1029</v>
      </c>
    </row>
    <row r="919" spans="1:5">
      <c r="A919" s="73">
        <v>918</v>
      </c>
      <c r="B919" s="74" t="s">
        <v>116</v>
      </c>
      <c r="C919" s="77">
        <v>11351129</v>
      </c>
      <c r="D919" s="71" t="s">
        <v>1047</v>
      </c>
      <c r="E919" s="71" t="s">
        <v>1029</v>
      </c>
    </row>
    <row r="920" spans="1:5">
      <c r="A920" s="73">
        <v>919</v>
      </c>
      <c r="B920" s="74" t="s">
        <v>116</v>
      </c>
      <c r="C920" s="77">
        <v>11353097</v>
      </c>
      <c r="D920" s="71" t="s">
        <v>1048</v>
      </c>
      <c r="E920" s="71" t="s">
        <v>1029</v>
      </c>
    </row>
    <row r="921" spans="1:5">
      <c r="A921" s="73">
        <v>920</v>
      </c>
      <c r="B921" s="74" t="s">
        <v>116</v>
      </c>
      <c r="C921" s="77">
        <v>11351905</v>
      </c>
      <c r="D921" s="71" t="s">
        <v>1049</v>
      </c>
      <c r="E921" s="71" t="s">
        <v>1029</v>
      </c>
    </row>
    <row r="922" spans="1:5">
      <c r="A922" s="73">
        <v>921</v>
      </c>
      <c r="B922" s="74" t="s">
        <v>116</v>
      </c>
      <c r="C922" s="77">
        <v>11352124</v>
      </c>
      <c r="D922" s="71" t="s">
        <v>1050</v>
      </c>
      <c r="E922" s="71" t="s">
        <v>1029</v>
      </c>
    </row>
    <row r="923" spans="1:5">
      <c r="A923" s="73">
        <v>922</v>
      </c>
      <c r="B923" s="74" t="s">
        <v>116</v>
      </c>
      <c r="C923" s="77">
        <v>11351671</v>
      </c>
      <c r="D923" s="71" t="s">
        <v>1051</v>
      </c>
      <c r="E923" s="71" t="s">
        <v>1029</v>
      </c>
    </row>
    <row r="924" spans="1:5">
      <c r="A924" s="73">
        <v>923</v>
      </c>
      <c r="B924" s="74" t="s">
        <v>116</v>
      </c>
      <c r="C924" s="77">
        <v>11354047</v>
      </c>
      <c r="D924" s="71" t="s">
        <v>1052</v>
      </c>
      <c r="E924" s="71" t="s">
        <v>1029</v>
      </c>
    </row>
    <row r="925" spans="1:5">
      <c r="A925" s="73">
        <v>924</v>
      </c>
      <c r="B925" s="74" t="s">
        <v>116</v>
      </c>
      <c r="C925" s="77">
        <v>11353891</v>
      </c>
      <c r="D925" s="71" t="s">
        <v>1053</v>
      </c>
      <c r="E925" s="71" t="s">
        <v>1029</v>
      </c>
    </row>
    <row r="926" spans="1:5">
      <c r="A926" s="73">
        <v>925</v>
      </c>
      <c r="B926" s="74" t="s">
        <v>116</v>
      </c>
      <c r="C926" s="77">
        <v>11354489</v>
      </c>
      <c r="D926" s="71" t="s">
        <v>1054</v>
      </c>
      <c r="E926" s="71" t="s">
        <v>1029</v>
      </c>
    </row>
    <row r="927" spans="1:5">
      <c r="A927" s="73">
        <v>926</v>
      </c>
      <c r="B927" s="74" t="s">
        <v>116</v>
      </c>
      <c r="C927" s="77">
        <v>11354674</v>
      </c>
      <c r="D927" s="71" t="s">
        <v>1055</v>
      </c>
      <c r="E927" s="71" t="s">
        <v>1029</v>
      </c>
    </row>
    <row r="928" spans="1:5">
      <c r="A928" s="73">
        <v>927</v>
      </c>
      <c r="B928" s="74" t="s">
        <v>116</v>
      </c>
      <c r="C928" s="77">
        <v>11347744</v>
      </c>
      <c r="D928" s="71" t="s">
        <v>1056</v>
      </c>
      <c r="E928" s="71" t="s">
        <v>1029</v>
      </c>
    </row>
    <row r="929" spans="1:5">
      <c r="A929" s="73">
        <v>928</v>
      </c>
      <c r="B929" s="74" t="s">
        <v>116</v>
      </c>
      <c r="C929" s="77">
        <v>11353179</v>
      </c>
      <c r="D929" s="71" t="s">
        <v>1057</v>
      </c>
      <c r="E929" s="71" t="s">
        <v>1029</v>
      </c>
    </row>
    <row r="930" spans="1:5">
      <c r="A930" s="73">
        <v>929</v>
      </c>
      <c r="B930" s="74" t="s">
        <v>116</v>
      </c>
      <c r="C930" s="77">
        <v>11354546</v>
      </c>
      <c r="D930" s="71" t="s">
        <v>1058</v>
      </c>
      <c r="E930" s="71" t="s">
        <v>1029</v>
      </c>
    </row>
    <row r="931" spans="1:5">
      <c r="A931" s="73">
        <v>930</v>
      </c>
      <c r="B931" s="74" t="s">
        <v>116</v>
      </c>
      <c r="C931" s="77">
        <v>11354196</v>
      </c>
      <c r="D931" s="71" t="s">
        <v>1059</v>
      </c>
      <c r="E931" s="71" t="s">
        <v>1029</v>
      </c>
    </row>
    <row r="932" spans="1:5">
      <c r="A932" s="73">
        <v>931</v>
      </c>
      <c r="B932" s="74" t="s">
        <v>116</v>
      </c>
      <c r="C932" s="77">
        <v>11353777</v>
      </c>
      <c r="D932" s="71" t="s">
        <v>1060</v>
      </c>
      <c r="E932" s="71" t="s">
        <v>1029</v>
      </c>
    </row>
    <row r="933" spans="1:5">
      <c r="A933" s="73">
        <v>932</v>
      </c>
      <c r="B933" s="74" t="s">
        <v>116</v>
      </c>
      <c r="C933" s="77">
        <v>11352823</v>
      </c>
      <c r="D933" s="71" t="s">
        <v>1061</v>
      </c>
      <c r="E933" s="71" t="s">
        <v>1029</v>
      </c>
    </row>
    <row r="934" spans="1:5">
      <c r="A934" s="73">
        <v>933</v>
      </c>
      <c r="B934" s="74" t="s">
        <v>116</v>
      </c>
      <c r="C934" s="77">
        <v>11349864</v>
      </c>
      <c r="D934" s="71" t="s">
        <v>1062</v>
      </c>
      <c r="E934" s="71" t="s">
        <v>1029</v>
      </c>
    </row>
    <row r="935" spans="1:5">
      <c r="A935" s="73">
        <v>934</v>
      </c>
      <c r="B935" s="74" t="s">
        <v>116</v>
      </c>
      <c r="C935" s="77">
        <v>11353830</v>
      </c>
      <c r="D935" s="71" t="s">
        <v>1063</v>
      </c>
      <c r="E935" s="71" t="s">
        <v>1029</v>
      </c>
    </row>
    <row r="936" spans="1:5">
      <c r="A936" s="73">
        <v>935</v>
      </c>
      <c r="B936" s="74" t="s">
        <v>116</v>
      </c>
      <c r="C936" s="77">
        <v>11288900</v>
      </c>
      <c r="D936" s="71" t="s">
        <v>1064</v>
      </c>
      <c r="E936" s="71" t="s">
        <v>1029</v>
      </c>
    </row>
    <row r="937" spans="1:5">
      <c r="A937" s="73">
        <v>936</v>
      </c>
      <c r="B937" s="74" t="s">
        <v>116</v>
      </c>
      <c r="C937" s="77">
        <v>11334789</v>
      </c>
      <c r="D937" s="71" t="s">
        <v>1065</v>
      </c>
      <c r="E937" s="71" t="s">
        <v>1029</v>
      </c>
    </row>
    <row r="938" spans="1:5">
      <c r="A938" s="73">
        <v>937</v>
      </c>
      <c r="B938" s="74" t="s">
        <v>116</v>
      </c>
      <c r="C938" s="77">
        <v>11354042</v>
      </c>
      <c r="D938" s="71" t="s">
        <v>1066</v>
      </c>
      <c r="E938" s="71" t="s">
        <v>1029</v>
      </c>
    </row>
    <row r="939" spans="1:5">
      <c r="A939" s="73">
        <v>938</v>
      </c>
      <c r="B939" s="74" t="s">
        <v>116</v>
      </c>
      <c r="C939" s="77">
        <v>11353795</v>
      </c>
      <c r="D939" s="71" t="s">
        <v>1067</v>
      </c>
      <c r="E939" s="71" t="s">
        <v>1029</v>
      </c>
    </row>
    <row r="940" spans="1:5">
      <c r="A940" s="73">
        <v>939</v>
      </c>
      <c r="B940" s="74" t="s">
        <v>116</v>
      </c>
      <c r="C940" s="77">
        <v>11344757</v>
      </c>
      <c r="D940" s="71" t="s">
        <v>1068</v>
      </c>
      <c r="E940" s="71" t="s">
        <v>1029</v>
      </c>
    </row>
    <row r="941" spans="1:5">
      <c r="A941" s="73">
        <v>940</v>
      </c>
      <c r="B941" s="74" t="s">
        <v>116</v>
      </c>
      <c r="C941" s="77">
        <v>11347714</v>
      </c>
      <c r="D941" s="71" t="s">
        <v>1069</v>
      </c>
      <c r="E941" s="71" t="s">
        <v>1029</v>
      </c>
    </row>
    <row r="942" spans="1:5">
      <c r="A942" s="73">
        <v>941</v>
      </c>
      <c r="B942" s="74" t="s">
        <v>116</v>
      </c>
      <c r="C942" s="77">
        <v>11349170</v>
      </c>
      <c r="D942" s="71" t="s">
        <v>1070</v>
      </c>
      <c r="E942" s="71" t="s">
        <v>1029</v>
      </c>
    </row>
    <row r="943" spans="1:5">
      <c r="A943" s="73">
        <v>942</v>
      </c>
      <c r="B943" s="74" t="s">
        <v>116</v>
      </c>
      <c r="C943" s="77">
        <v>11353379</v>
      </c>
      <c r="D943" s="71" t="s">
        <v>1071</v>
      </c>
      <c r="E943" s="71" t="s">
        <v>1029</v>
      </c>
    </row>
    <row r="944" spans="1:5">
      <c r="A944" s="73">
        <v>943</v>
      </c>
      <c r="B944" s="74" t="s">
        <v>116</v>
      </c>
      <c r="C944" s="77">
        <v>11354830</v>
      </c>
      <c r="D944" s="71" t="s">
        <v>1072</v>
      </c>
      <c r="E944" s="71" t="s">
        <v>1029</v>
      </c>
    </row>
    <row r="945" spans="1:5">
      <c r="A945" s="73">
        <v>944</v>
      </c>
      <c r="B945" s="74" t="s">
        <v>116</v>
      </c>
      <c r="C945" s="77">
        <v>11349416</v>
      </c>
      <c r="D945" s="71" t="s">
        <v>1073</v>
      </c>
      <c r="E945" s="71" t="s">
        <v>1029</v>
      </c>
    </row>
    <row r="946" spans="1:5">
      <c r="A946" s="73">
        <v>945</v>
      </c>
      <c r="B946" s="74" t="s">
        <v>116</v>
      </c>
      <c r="C946" s="77">
        <v>11351297</v>
      </c>
      <c r="D946" s="71" t="s">
        <v>1074</v>
      </c>
      <c r="E946" s="71" t="s">
        <v>1029</v>
      </c>
    </row>
    <row r="947" spans="1:5">
      <c r="A947" s="73">
        <v>946</v>
      </c>
      <c r="B947" s="74" t="s">
        <v>116</v>
      </c>
      <c r="C947" s="77">
        <v>11336382</v>
      </c>
      <c r="D947" s="71" t="s">
        <v>1075</v>
      </c>
      <c r="E947" s="71" t="s">
        <v>1029</v>
      </c>
    </row>
    <row r="948" spans="1:5">
      <c r="A948" s="73">
        <v>947</v>
      </c>
      <c r="B948" s="74" t="s">
        <v>116</v>
      </c>
      <c r="C948" s="77">
        <v>11354442</v>
      </c>
      <c r="D948" s="71" t="s">
        <v>1076</v>
      </c>
      <c r="E948" s="71" t="s">
        <v>1029</v>
      </c>
    </row>
    <row r="949" spans="1:5">
      <c r="A949" s="73">
        <v>948</v>
      </c>
      <c r="B949" s="74" t="s">
        <v>116</v>
      </c>
      <c r="C949" s="77">
        <v>11354017</v>
      </c>
      <c r="D949" s="71" t="s">
        <v>1077</v>
      </c>
      <c r="E949" s="71" t="s">
        <v>1029</v>
      </c>
    </row>
    <row r="950" spans="1:5">
      <c r="A950" s="73">
        <v>949</v>
      </c>
      <c r="B950" s="74" t="s">
        <v>116</v>
      </c>
      <c r="C950" s="77">
        <v>11272737</v>
      </c>
      <c r="D950" s="71" t="s">
        <v>1078</v>
      </c>
      <c r="E950" s="71" t="s">
        <v>1079</v>
      </c>
    </row>
    <row r="951" spans="1:5">
      <c r="A951" s="73">
        <v>950</v>
      </c>
      <c r="B951" s="74" t="s">
        <v>116</v>
      </c>
      <c r="C951" s="77">
        <v>11356741</v>
      </c>
      <c r="D951" s="71" t="s">
        <v>1080</v>
      </c>
      <c r="E951" s="71" t="s">
        <v>1079</v>
      </c>
    </row>
    <row r="952" spans="1:5">
      <c r="A952" s="73">
        <v>951</v>
      </c>
      <c r="B952" s="74" t="s">
        <v>116</v>
      </c>
      <c r="C952" s="77">
        <v>11354683</v>
      </c>
      <c r="D952" s="71" t="s">
        <v>1081</v>
      </c>
      <c r="E952" s="71" t="s">
        <v>1079</v>
      </c>
    </row>
    <row r="953" spans="1:5">
      <c r="A953" s="73">
        <v>952</v>
      </c>
      <c r="B953" s="74" t="s">
        <v>116</v>
      </c>
      <c r="C953" s="77">
        <v>11354828</v>
      </c>
      <c r="D953" s="71" t="s">
        <v>1082</v>
      </c>
      <c r="E953" s="71" t="s">
        <v>1079</v>
      </c>
    </row>
    <row r="954" spans="1:5">
      <c r="A954" s="73">
        <v>953</v>
      </c>
      <c r="B954" s="74" t="s">
        <v>116</v>
      </c>
      <c r="C954" s="77">
        <v>11354130</v>
      </c>
      <c r="D954" s="71" t="s">
        <v>1083</v>
      </c>
      <c r="E954" s="71" t="s">
        <v>1079</v>
      </c>
    </row>
    <row r="955" spans="1:5">
      <c r="A955" s="73">
        <v>954</v>
      </c>
      <c r="B955" s="74" t="s">
        <v>116</v>
      </c>
      <c r="C955" s="77">
        <v>11352849</v>
      </c>
      <c r="D955" s="71" t="s">
        <v>1084</v>
      </c>
      <c r="E955" s="71" t="s">
        <v>1079</v>
      </c>
    </row>
    <row r="956" spans="1:5">
      <c r="A956" s="73">
        <v>955</v>
      </c>
      <c r="B956" s="74" t="s">
        <v>116</v>
      </c>
      <c r="C956" s="77">
        <v>11333154</v>
      </c>
      <c r="D956" s="71" t="s">
        <v>1085</v>
      </c>
      <c r="E956" s="71" t="s">
        <v>1079</v>
      </c>
    </row>
    <row r="957" spans="1:5">
      <c r="A957" s="73">
        <v>956</v>
      </c>
      <c r="B957" s="74" t="s">
        <v>116</v>
      </c>
      <c r="C957" s="77">
        <v>11354127</v>
      </c>
      <c r="D957" s="71" t="s">
        <v>1086</v>
      </c>
      <c r="E957" s="71" t="s">
        <v>1079</v>
      </c>
    </row>
    <row r="958" spans="1:5">
      <c r="A958" s="73">
        <v>957</v>
      </c>
      <c r="B958" s="74" t="s">
        <v>116</v>
      </c>
      <c r="C958" s="77">
        <v>11353877</v>
      </c>
      <c r="D958" s="71" t="s">
        <v>1087</v>
      </c>
      <c r="E958" s="71" t="s">
        <v>1079</v>
      </c>
    </row>
    <row r="959" spans="1:5">
      <c r="A959" s="73">
        <v>958</v>
      </c>
      <c r="B959" s="74" t="s">
        <v>116</v>
      </c>
      <c r="C959" s="77">
        <v>11353437</v>
      </c>
      <c r="D959" s="71" t="s">
        <v>1088</v>
      </c>
      <c r="E959" s="71" t="s">
        <v>1079</v>
      </c>
    </row>
    <row r="960" spans="1:5">
      <c r="A960" s="73">
        <v>959</v>
      </c>
      <c r="B960" s="74" t="s">
        <v>116</v>
      </c>
      <c r="C960" s="77">
        <v>11335283</v>
      </c>
      <c r="D960" s="71" t="s">
        <v>1089</v>
      </c>
      <c r="E960" s="71" t="s">
        <v>1079</v>
      </c>
    </row>
    <row r="961" spans="1:5">
      <c r="A961" s="73">
        <v>960</v>
      </c>
      <c r="B961" s="74" t="s">
        <v>116</v>
      </c>
      <c r="C961" s="77">
        <v>11353828</v>
      </c>
      <c r="D961" s="71" t="s">
        <v>1090</v>
      </c>
      <c r="E961" s="71" t="s">
        <v>1079</v>
      </c>
    </row>
    <row r="962" spans="1:5">
      <c r="A962" s="73">
        <v>961</v>
      </c>
      <c r="B962" s="74" t="s">
        <v>116</v>
      </c>
      <c r="C962" s="77">
        <v>11351101</v>
      </c>
      <c r="D962" s="71" t="s">
        <v>1091</v>
      </c>
      <c r="E962" s="71" t="s">
        <v>1079</v>
      </c>
    </row>
    <row r="963" spans="1:5">
      <c r="A963" s="73">
        <v>962</v>
      </c>
      <c r="B963" s="74" t="s">
        <v>116</v>
      </c>
      <c r="C963" s="77">
        <v>11354273</v>
      </c>
      <c r="D963" s="71" t="s">
        <v>1092</v>
      </c>
      <c r="E963" s="71" t="s">
        <v>1079</v>
      </c>
    </row>
    <row r="964" spans="1:5">
      <c r="A964" s="73">
        <v>963</v>
      </c>
      <c r="B964" s="74" t="s">
        <v>116</v>
      </c>
      <c r="C964" s="77">
        <v>11352401</v>
      </c>
      <c r="D964" s="71" t="s">
        <v>1093</v>
      </c>
      <c r="E964" s="71" t="s">
        <v>1079</v>
      </c>
    </row>
    <row r="965" spans="1:5">
      <c r="A965" s="73">
        <v>964</v>
      </c>
      <c r="B965" s="74" t="s">
        <v>116</v>
      </c>
      <c r="C965" s="77">
        <v>11346639</v>
      </c>
      <c r="D965" s="71" t="s">
        <v>1094</v>
      </c>
      <c r="E965" s="71" t="s">
        <v>1079</v>
      </c>
    </row>
    <row r="966" spans="1:5">
      <c r="A966" s="73">
        <v>965</v>
      </c>
      <c r="B966" s="74" t="s">
        <v>116</v>
      </c>
      <c r="C966" s="77">
        <v>11354337</v>
      </c>
      <c r="D966" s="71" t="s">
        <v>1095</v>
      </c>
      <c r="E966" s="71" t="s">
        <v>1079</v>
      </c>
    </row>
    <row r="967" spans="1:5">
      <c r="A967" s="73">
        <v>966</v>
      </c>
      <c r="B967" s="74" t="s">
        <v>116</v>
      </c>
      <c r="C967" s="77">
        <v>11352405</v>
      </c>
      <c r="D967" s="71" t="s">
        <v>1096</v>
      </c>
      <c r="E967" s="71" t="s">
        <v>1079</v>
      </c>
    </row>
    <row r="968" spans="1:5">
      <c r="A968" s="73">
        <v>967</v>
      </c>
      <c r="B968" s="74" t="s">
        <v>116</v>
      </c>
      <c r="C968" s="77">
        <v>11354884</v>
      </c>
      <c r="D968" s="71" t="s">
        <v>1097</v>
      </c>
      <c r="E968" s="71" t="s">
        <v>1079</v>
      </c>
    </row>
    <row r="969" spans="1:5">
      <c r="A969" s="73">
        <v>968</v>
      </c>
      <c r="B969" s="74" t="s">
        <v>116</v>
      </c>
      <c r="C969" s="77">
        <v>11353600</v>
      </c>
      <c r="D969" s="71" t="s">
        <v>1098</v>
      </c>
      <c r="E969" s="71" t="s">
        <v>1079</v>
      </c>
    </row>
    <row r="970" spans="1:5">
      <c r="A970" s="73">
        <v>969</v>
      </c>
      <c r="B970" s="74" t="s">
        <v>116</v>
      </c>
      <c r="C970" s="77">
        <v>11353867</v>
      </c>
      <c r="D970" s="71" t="s">
        <v>1099</v>
      </c>
      <c r="E970" s="71" t="s">
        <v>1079</v>
      </c>
    </row>
    <row r="971" spans="1:5">
      <c r="A971" s="73">
        <v>970</v>
      </c>
      <c r="B971" s="74" t="s">
        <v>116</v>
      </c>
      <c r="C971" s="77">
        <v>11352383</v>
      </c>
      <c r="D971" s="71" t="s">
        <v>1100</v>
      </c>
      <c r="E971" s="71" t="s">
        <v>1079</v>
      </c>
    </row>
    <row r="972" spans="1:5">
      <c r="A972" s="73">
        <v>971</v>
      </c>
      <c r="B972" s="74" t="s">
        <v>116</v>
      </c>
      <c r="C972" s="77">
        <v>11353722</v>
      </c>
      <c r="D972" s="71" t="s">
        <v>1101</v>
      </c>
      <c r="E972" s="71" t="s">
        <v>1079</v>
      </c>
    </row>
    <row r="973" spans="1:5">
      <c r="A973" s="73">
        <v>972</v>
      </c>
      <c r="B973" s="74" t="s">
        <v>116</v>
      </c>
      <c r="C973" s="77">
        <v>11350645</v>
      </c>
      <c r="D973" s="71" t="s">
        <v>1102</v>
      </c>
      <c r="E973" s="71" t="s">
        <v>1079</v>
      </c>
    </row>
    <row r="974" spans="1:5">
      <c r="A974" s="73">
        <v>973</v>
      </c>
      <c r="B974" s="74" t="s">
        <v>116</v>
      </c>
      <c r="C974" s="77">
        <v>11354880</v>
      </c>
      <c r="D974" s="71" t="s">
        <v>1103</v>
      </c>
      <c r="E974" s="71" t="s">
        <v>1079</v>
      </c>
    </row>
    <row r="975" spans="1:5">
      <c r="A975" s="73">
        <v>974</v>
      </c>
      <c r="B975" s="74" t="s">
        <v>116</v>
      </c>
      <c r="C975" s="77">
        <v>11353882</v>
      </c>
      <c r="D975" s="71" t="s">
        <v>1104</v>
      </c>
      <c r="E975" s="71" t="s">
        <v>1079</v>
      </c>
    </row>
    <row r="976" spans="1:5">
      <c r="A976" s="73">
        <v>975</v>
      </c>
      <c r="B976" s="74" t="s">
        <v>116</v>
      </c>
      <c r="C976" s="77">
        <v>11337903</v>
      </c>
      <c r="D976" s="71" t="s">
        <v>1105</v>
      </c>
      <c r="E976" s="71" t="s">
        <v>1079</v>
      </c>
    </row>
    <row r="977" spans="1:5">
      <c r="A977" s="73">
        <v>976</v>
      </c>
      <c r="B977" s="74" t="s">
        <v>116</v>
      </c>
      <c r="C977" s="77">
        <v>11351272</v>
      </c>
      <c r="D977" s="71" t="s">
        <v>1106</v>
      </c>
      <c r="E977" s="71" t="s">
        <v>1079</v>
      </c>
    </row>
    <row r="978" spans="1:5">
      <c r="A978" s="73">
        <v>977</v>
      </c>
      <c r="B978" s="74" t="s">
        <v>116</v>
      </c>
      <c r="C978" s="77">
        <v>11351224</v>
      </c>
      <c r="D978" s="71" t="s">
        <v>1107</v>
      </c>
      <c r="E978" s="71" t="s">
        <v>1079</v>
      </c>
    </row>
    <row r="979" spans="1:5">
      <c r="A979" s="73">
        <v>978</v>
      </c>
      <c r="B979" s="74" t="s">
        <v>116</v>
      </c>
      <c r="C979" s="77">
        <v>11355732</v>
      </c>
      <c r="D979" s="71" t="s">
        <v>1108</v>
      </c>
      <c r="E979" s="71" t="s">
        <v>1079</v>
      </c>
    </row>
    <row r="980" spans="1:5">
      <c r="A980" s="73">
        <v>979</v>
      </c>
      <c r="B980" s="74" t="s">
        <v>116</v>
      </c>
      <c r="C980" s="77">
        <v>11353773</v>
      </c>
      <c r="D980" s="71" t="s">
        <v>1109</v>
      </c>
      <c r="E980" s="71" t="s">
        <v>1079</v>
      </c>
    </row>
    <row r="981" spans="1:5">
      <c r="A981" s="73">
        <v>980</v>
      </c>
      <c r="B981" s="74" t="s">
        <v>116</v>
      </c>
      <c r="C981" s="77">
        <v>11357104</v>
      </c>
      <c r="D981" s="71" t="s">
        <v>1110</v>
      </c>
      <c r="E981" s="71" t="s">
        <v>1079</v>
      </c>
    </row>
    <row r="982" spans="1:5">
      <c r="A982" s="73">
        <v>981</v>
      </c>
      <c r="B982" s="74" t="s">
        <v>116</v>
      </c>
      <c r="C982" s="77">
        <v>11354508</v>
      </c>
      <c r="D982" s="71" t="s">
        <v>1111</v>
      </c>
      <c r="E982" s="71" t="s">
        <v>1079</v>
      </c>
    </row>
    <row r="983" spans="1:5">
      <c r="A983" s="73">
        <v>982</v>
      </c>
      <c r="B983" s="74" t="s">
        <v>116</v>
      </c>
      <c r="C983" s="77">
        <v>11350998</v>
      </c>
      <c r="D983" s="71" t="s">
        <v>1112</v>
      </c>
      <c r="E983" s="71" t="s">
        <v>1079</v>
      </c>
    </row>
    <row r="984" spans="1:5">
      <c r="A984" s="73">
        <v>983</v>
      </c>
      <c r="B984" s="74" t="s">
        <v>116</v>
      </c>
      <c r="C984" s="77">
        <v>11352605</v>
      </c>
      <c r="D984" s="71" t="s">
        <v>1113</v>
      </c>
      <c r="E984" s="71" t="s">
        <v>1079</v>
      </c>
    </row>
    <row r="985" spans="1:5">
      <c r="A985" s="73">
        <v>984</v>
      </c>
      <c r="B985" s="74" t="s">
        <v>116</v>
      </c>
      <c r="C985" s="77">
        <v>11353812</v>
      </c>
      <c r="D985" s="71" t="s">
        <v>1114</v>
      </c>
      <c r="E985" s="71" t="s">
        <v>1079</v>
      </c>
    </row>
    <row r="986" spans="1:5">
      <c r="A986" s="73">
        <v>985</v>
      </c>
      <c r="B986" s="74" t="s">
        <v>116</v>
      </c>
      <c r="C986" s="77">
        <v>11351425</v>
      </c>
      <c r="D986" s="71" t="s">
        <v>1115</v>
      </c>
      <c r="E986" s="71" t="s">
        <v>1079</v>
      </c>
    </row>
    <row r="987" spans="1:5">
      <c r="A987" s="73">
        <v>986</v>
      </c>
      <c r="B987" s="74" t="s">
        <v>116</v>
      </c>
      <c r="C987" s="77">
        <v>11342295</v>
      </c>
      <c r="D987" s="71" t="s">
        <v>1116</v>
      </c>
      <c r="E987" s="71" t="s">
        <v>1079</v>
      </c>
    </row>
    <row r="988" spans="1:5">
      <c r="A988" s="73">
        <v>987</v>
      </c>
      <c r="B988" s="74" t="s">
        <v>116</v>
      </c>
      <c r="C988" s="77">
        <v>11354669</v>
      </c>
      <c r="D988" s="71" t="s">
        <v>1117</v>
      </c>
      <c r="E988" s="71" t="s">
        <v>1079</v>
      </c>
    </row>
    <row r="989" spans="1:5">
      <c r="A989" s="73">
        <v>988</v>
      </c>
      <c r="B989" s="74" t="s">
        <v>116</v>
      </c>
      <c r="C989" s="77">
        <v>11353567</v>
      </c>
      <c r="D989" s="71" t="s">
        <v>1118</v>
      </c>
      <c r="E989" s="71" t="s">
        <v>1079</v>
      </c>
    </row>
    <row r="990" spans="1:5">
      <c r="A990" s="73">
        <v>989</v>
      </c>
      <c r="B990" s="74" t="s">
        <v>116</v>
      </c>
      <c r="C990" s="77">
        <v>11354760</v>
      </c>
      <c r="D990" s="71" t="s">
        <v>1119</v>
      </c>
      <c r="E990" s="71" t="s">
        <v>1079</v>
      </c>
    </row>
    <row r="991" spans="1:5">
      <c r="A991" s="73">
        <v>990</v>
      </c>
      <c r="B991" s="74" t="s">
        <v>116</v>
      </c>
      <c r="C991" s="77">
        <v>11316247</v>
      </c>
      <c r="D991" s="71" t="s">
        <v>1120</v>
      </c>
      <c r="E991" s="71" t="s">
        <v>1079</v>
      </c>
    </row>
    <row r="992" spans="1:5">
      <c r="A992" s="73">
        <v>991</v>
      </c>
      <c r="B992" s="74" t="s">
        <v>116</v>
      </c>
      <c r="C992" s="77">
        <v>11354649</v>
      </c>
      <c r="D992" s="71" t="s">
        <v>1121</v>
      </c>
      <c r="E992" s="71" t="s">
        <v>1079</v>
      </c>
    </row>
    <row r="993" spans="1:5">
      <c r="A993" s="73">
        <v>992</v>
      </c>
      <c r="B993" s="74" t="s">
        <v>116</v>
      </c>
      <c r="C993" s="77">
        <v>11335385</v>
      </c>
      <c r="D993" s="71" t="s">
        <v>1122</v>
      </c>
      <c r="E993" s="71" t="s">
        <v>1079</v>
      </c>
    </row>
    <row r="994" spans="1:5">
      <c r="A994" s="73">
        <v>993</v>
      </c>
      <c r="B994" s="74" t="s">
        <v>116</v>
      </c>
      <c r="C994" s="77">
        <v>11353889</v>
      </c>
      <c r="D994" s="71" t="s">
        <v>1123</v>
      </c>
      <c r="E994" s="71" t="s">
        <v>1079</v>
      </c>
    </row>
    <row r="995" spans="1:5">
      <c r="A995" s="73">
        <v>994</v>
      </c>
      <c r="B995" s="74" t="s">
        <v>116</v>
      </c>
      <c r="C995" s="77">
        <v>11354044</v>
      </c>
      <c r="D995" s="71" t="s">
        <v>1124</v>
      </c>
      <c r="E995" s="71" t="s">
        <v>1079</v>
      </c>
    </row>
    <row r="996" spans="1:5">
      <c r="A996" s="73">
        <v>995</v>
      </c>
      <c r="B996" s="74" t="s">
        <v>116</v>
      </c>
      <c r="C996" s="77">
        <v>11352690</v>
      </c>
      <c r="D996" s="71" t="s">
        <v>1125</v>
      </c>
      <c r="E996" s="71" t="s">
        <v>1079</v>
      </c>
    </row>
    <row r="997" spans="1:5">
      <c r="A997" s="73">
        <v>996</v>
      </c>
      <c r="B997" s="74" t="s">
        <v>116</v>
      </c>
      <c r="C997" s="77">
        <v>11351081</v>
      </c>
      <c r="D997" s="71" t="s">
        <v>1126</v>
      </c>
      <c r="E997" s="71" t="s">
        <v>1079</v>
      </c>
    </row>
    <row r="998" spans="1:5">
      <c r="A998" s="73">
        <v>997</v>
      </c>
      <c r="B998" s="74" t="s">
        <v>116</v>
      </c>
      <c r="C998" s="77">
        <v>11337916</v>
      </c>
      <c r="D998" s="71" t="s">
        <v>1127</v>
      </c>
      <c r="E998" s="71" t="s">
        <v>1079</v>
      </c>
    </row>
    <row r="999" spans="1:5">
      <c r="A999" s="73">
        <v>998</v>
      </c>
      <c r="B999" s="74" t="s">
        <v>116</v>
      </c>
      <c r="C999" s="77">
        <v>11352692</v>
      </c>
      <c r="D999" s="71" t="s">
        <v>1128</v>
      </c>
      <c r="E999" s="71" t="s">
        <v>1079</v>
      </c>
    </row>
    <row r="1000" spans="1:5">
      <c r="A1000" s="73">
        <v>999</v>
      </c>
      <c r="B1000" s="74" t="s">
        <v>116</v>
      </c>
      <c r="C1000" s="77">
        <v>11354136</v>
      </c>
      <c r="D1000" s="71" t="s">
        <v>1129</v>
      </c>
      <c r="E1000" s="71" t="s">
        <v>1079</v>
      </c>
    </row>
    <row r="1001" spans="1:5">
      <c r="A1001" s="73">
        <v>1000</v>
      </c>
      <c r="B1001" s="74" t="s">
        <v>116</v>
      </c>
      <c r="C1001" s="77">
        <v>11354747</v>
      </c>
      <c r="D1001" s="71" t="s">
        <v>1130</v>
      </c>
      <c r="E1001" s="71" t="s">
        <v>1079</v>
      </c>
    </row>
    <row r="1002" spans="1:5">
      <c r="A1002" s="73">
        <v>1001</v>
      </c>
      <c r="B1002" s="74" t="s">
        <v>116</v>
      </c>
      <c r="C1002" s="77">
        <v>11352551</v>
      </c>
      <c r="D1002" s="71" t="s">
        <v>1131</v>
      </c>
      <c r="E1002" s="71" t="s">
        <v>1079</v>
      </c>
    </row>
    <row r="1003" spans="1:5">
      <c r="A1003" s="73">
        <v>1002</v>
      </c>
      <c r="B1003" s="74" t="s">
        <v>116</v>
      </c>
      <c r="C1003" s="77">
        <v>11353972</v>
      </c>
      <c r="D1003" s="71" t="s">
        <v>1132</v>
      </c>
      <c r="E1003" s="71" t="s">
        <v>1079</v>
      </c>
    </row>
    <row r="1004" spans="1:5">
      <c r="A1004" s="73">
        <v>1003</v>
      </c>
      <c r="B1004" s="74" t="s">
        <v>116</v>
      </c>
      <c r="C1004" s="77">
        <v>11351299</v>
      </c>
      <c r="D1004" s="71" t="s">
        <v>1133</v>
      </c>
      <c r="E1004" s="71" t="s">
        <v>1079</v>
      </c>
    </row>
    <row r="1005" spans="1:5">
      <c r="A1005" s="73">
        <v>1004</v>
      </c>
      <c r="B1005" s="74" t="s">
        <v>116</v>
      </c>
      <c r="C1005" s="77">
        <v>11351877</v>
      </c>
      <c r="D1005" s="71" t="s">
        <v>1134</v>
      </c>
      <c r="E1005" s="71" t="s">
        <v>1079</v>
      </c>
    </row>
    <row r="1006" spans="1:5">
      <c r="A1006" s="73">
        <v>1005</v>
      </c>
      <c r="B1006" s="74" t="s">
        <v>116</v>
      </c>
      <c r="C1006" s="77">
        <v>11350655</v>
      </c>
      <c r="D1006" s="71" t="s">
        <v>1135</v>
      </c>
      <c r="E1006" s="71" t="s">
        <v>1079</v>
      </c>
    </row>
    <row r="1007" spans="1:5">
      <c r="A1007" s="73">
        <v>1006</v>
      </c>
      <c r="B1007" s="74" t="s">
        <v>116</v>
      </c>
      <c r="C1007" s="77">
        <v>11354420</v>
      </c>
      <c r="D1007" s="71" t="s">
        <v>1136</v>
      </c>
      <c r="E1007" s="71" t="s">
        <v>1079</v>
      </c>
    </row>
    <row r="1008" spans="1:5">
      <c r="A1008" s="73">
        <v>1007</v>
      </c>
      <c r="B1008" s="74" t="s">
        <v>116</v>
      </c>
      <c r="C1008" s="77">
        <v>11353209</v>
      </c>
      <c r="D1008" s="71" t="s">
        <v>1137</v>
      </c>
      <c r="E1008" s="71" t="s">
        <v>1079</v>
      </c>
    </row>
    <row r="1009" spans="1:5">
      <c r="A1009" s="73">
        <v>1008</v>
      </c>
      <c r="B1009" s="74" t="s">
        <v>116</v>
      </c>
      <c r="C1009" s="77">
        <v>11350188</v>
      </c>
      <c r="D1009" s="71" t="s">
        <v>1138</v>
      </c>
      <c r="E1009" s="71" t="s">
        <v>1079</v>
      </c>
    </row>
    <row r="1010" spans="1:5">
      <c r="A1010" s="73">
        <v>1009</v>
      </c>
      <c r="B1010" s="74" t="s">
        <v>116</v>
      </c>
      <c r="C1010" s="77">
        <v>11352034</v>
      </c>
      <c r="D1010" s="71" t="s">
        <v>1139</v>
      </c>
      <c r="E1010" s="71" t="s">
        <v>1140</v>
      </c>
    </row>
    <row r="1011" spans="1:5">
      <c r="A1011" s="73">
        <v>1010</v>
      </c>
      <c r="B1011" s="74" t="s">
        <v>116</v>
      </c>
      <c r="C1011" s="77">
        <v>11351873</v>
      </c>
      <c r="D1011" s="71" t="s">
        <v>1141</v>
      </c>
      <c r="E1011" s="71" t="s">
        <v>1140</v>
      </c>
    </row>
    <row r="1012" spans="1:5">
      <c r="A1012" s="73">
        <v>1011</v>
      </c>
      <c r="B1012" s="74" t="s">
        <v>116</v>
      </c>
      <c r="C1012" s="77">
        <v>11351084</v>
      </c>
      <c r="D1012" s="71" t="s">
        <v>1142</v>
      </c>
      <c r="E1012" s="71" t="s">
        <v>1140</v>
      </c>
    </row>
    <row r="1013" spans="1:5">
      <c r="A1013" s="73">
        <v>1012</v>
      </c>
      <c r="B1013" s="74" t="s">
        <v>116</v>
      </c>
      <c r="C1013" s="77">
        <v>11352079</v>
      </c>
      <c r="D1013" s="71" t="s">
        <v>1143</v>
      </c>
      <c r="E1013" s="71" t="s">
        <v>1140</v>
      </c>
    </row>
    <row r="1014" spans="1:5">
      <c r="A1014" s="73">
        <v>1013</v>
      </c>
      <c r="B1014" s="74" t="s">
        <v>116</v>
      </c>
      <c r="C1014" s="77">
        <v>11351124</v>
      </c>
      <c r="D1014" s="71" t="s">
        <v>1144</v>
      </c>
      <c r="E1014" s="71" t="s">
        <v>1140</v>
      </c>
    </row>
    <row r="1015" spans="1:5">
      <c r="A1015" s="73">
        <v>1014</v>
      </c>
      <c r="B1015" s="74" t="s">
        <v>116</v>
      </c>
      <c r="C1015" s="77">
        <v>11353606</v>
      </c>
      <c r="D1015" s="71" t="s">
        <v>1145</v>
      </c>
      <c r="E1015" s="71" t="s">
        <v>1140</v>
      </c>
    </row>
    <row r="1016" spans="1:5">
      <c r="A1016" s="73">
        <v>1015</v>
      </c>
      <c r="B1016" s="74" t="s">
        <v>116</v>
      </c>
      <c r="C1016" s="77">
        <v>11352604</v>
      </c>
      <c r="D1016" s="71" t="s">
        <v>1146</v>
      </c>
      <c r="E1016" s="71" t="s">
        <v>1140</v>
      </c>
    </row>
    <row r="1017" spans="1:5">
      <c r="A1017" s="73">
        <v>1016</v>
      </c>
      <c r="B1017" s="74" t="s">
        <v>116</v>
      </c>
      <c r="C1017" s="77">
        <v>11352087</v>
      </c>
      <c r="D1017" s="71" t="s">
        <v>1147</v>
      </c>
      <c r="E1017" s="71" t="s">
        <v>1140</v>
      </c>
    </row>
    <row r="1018" spans="1:5">
      <c r="A1018" s="73">
        <v>1017</v>
      </c>
      <c r="B1018" s="74" t="s">
        <v>116</v>
      </c>
      <c r="C1018" s="77">
        <v>11352736</v>
      </c>
      <c r="D1018" s="71" t="s">
        <v>1148</v>
      </c>
      <c r="E1018" s="71" t="s">
        <v>1140</v>
      </c>
    </row>
    <row r="1019" spans="1:5">
      <c r="A1019" s="73">
        <v>1018</v>
      </c>
      <c r="B1019" s="74" t="s">
        <v>116</v>
      </c>
      <c r="C1019" s="77">
        <v>11352885</v>
      </c>
      <c r="D1019" s="71" t="s">
        <v>1149</v>
      </c>
      <c r="E1019" s="71" t="s">
        <v>1140</v>
      </c>
    </row>
    <row r="1020" spans="1:5">
      <c r="A1020" s="73">
        <v>1019</v>
      </c>
      <c r="B1020" s="74" t="s">
        <v>116</v>
      </c>
      <c r="C1020" s="77">
        <v>11337634</v>
      </c>
      <c r="D1020" s="71" t="s">
        <v>1150</v>
      </c>
      <c r="E1020" s="71" t="s">
        <v>1140</v>
      </c>
    </row>
    <row r="1021" spans="1:5">
      <c r="A1021" s="73">
        <v>1020</v>
      </c>
      <c r="B1021" s="74" t="s">
        <v>116</v>
      </c>
      <c r="C1021" s="77">
        <v>11354381</v>
      </c>
      <c r="D1021" s="71" t="s">
        <v>1151</v>
      </c>
      <c r="E1021" s="71" t="s">
        <v>1140</v>
      </c>
    </row>
    <row r="1022" spans="1:5">
      <c r="A1022" s="73">
        <v>1021</v>
      </c>
      <c r="B1022" s="74" t="s">
        <v>116</v>
      </c>
      <c r="C1022" s="77">
        <v>11354030</v>
      </c>
      <c r="D1022" s="71" t="s">
        <v>1152</v>
      </c>
      <c r="E1022" s="71" t="s">
        <v>1140</v>
      </c>
    </row>
    <row r="1023" spans="1:5">
      <c r="A1023" s="73">
        <v>1022</v>
      </c>
      <c r="B1023" s="74" t="s">
        <v>116</v>
      </c>
      <c r="C1023" s="77">
        <v>11350728</v>
      </c>
      <c r="D1023" s="71" t="s">
        <v>1153</v>
      </c>
      <c r="E1023" s="71" t="s">
        <v>1140</v>
      </c>
    </row>
    <row r="1024" spans="1:5">
      <c r="A1024" s="73">
        <v>1023</v>
      </c>
      <c r="B1024" s="74" t="s">
        <v>116</v>
      </c>
      <c r="C1024" s="77">
        <v>11354116</v>
      </c>
      <c r="D1024" s="71" t="s">
        <v>1154</v>
      </c>
      <c r="E1024" s="71" t="s">
        <v>1140</v>
      </c>
    </row>
    <row r="1025" spans="1:5">
      <c r="A1025" s="73">
        <v>1024</v>
      </c>
      <c r="B1025" s="74" t="s">
        <v>116</v>
      </c>
      <c r="C1025" s="77">
        <v>11354062</v>
      </c>
      <c r="D1025" s="71" t="s">
        <v>1155</v>
      </c>
      <c r="E1025" s="71" t="s">
        <v>1140</v>
      </c>
    </row>
    <row r="1026" spans="1:5">
      <c r="A1026" s="73">
        <v>1025</v>
      </c>
      <c r="B1026" s="74" t="s">
        <v>116</v>
      </c>
      <c r="C1026" s="77">
        <v>11352904</v>
      </c>
      <c r="D1026" s="71" t="s">
        <v>1156</v>
      </c>
      <c r="E1026" s="71" t="s">
        <v>1140</v>
      </c>
    </row>
    <row r="1027" spans="1:5">
      <c r="A1027" s="73">
        <v>1026</v>
      </c>
      <c r="B1027" s="74" t="s">
        <v>116</v>
      </c>
      <c r="C1027" s="77">
        <v>11351769</v>
      </c>
      <c r="D1027" s="71" t="s">
        <v>1157</v>
      </c>
      <c r="E1027" s="71" t="s">
        <v>1140</v>
      </c>
    </row>
    <row r="1028" spans="1:5">
      <c r="A1028" s="73">
        <v>1027</v>
      </c>
      <c r="B1028" s="74" t="s">
        <v>116</v>
      </c>
      <c r="C1028" s="77">
        <v>11352689</v>
      </c>
      <c r="D1028" s="71" t="s">
        <v>1158</v>
      </c>
      <c r="E1028" s="71" t="s">
        <v>1140</v>
      </c>
    </row>
    <row r="1029" spans="1:5">
      <c r="A1029" s="73">
        <v>1028</v>
      </c>
      <c r="B1029" s="74" t="s">
        <v>116</v>
      </c>
      <c r="C1029" s="77">
        <v>11351697</v>
      </c>
      <c r="D1029" s="71" t="s">
        <v>1159</v>
      </c>
      <c r="E1029" s="71" t="s">
        <v>1140</v>
      </c>
    </row>
    <row r="1030" spans="1:5">
      <c r="A1030" s="73">
        <v>1029</v>
      </c>
      <c r="B1030" s="74" t="s">
        <v>116</v>
      </c>
      <c r="C1030" s="77">
        <v>11353859</v>
      </c>
      <c r="D1030" s="71" t="s">
        <v>1160</v>
      </c>
      <c r="E1030" s="71" t="s">
        <v>1140</v>
      </c>
    </row>
    <row r="1031" spans="1:5">
      <c r="A1031" s="73">
        <v>1030</v>
      </c>
      <c r="B1031" s="74" t="s">
        <v>116</v>
      </c>
      <c r="C1031" s="77">
        <v>11321585</v>
      </c>
      <c r="D1031" s="71" t="s">
        <v>1161</v>
      </c>
      <c r="E1031" s="71" t="s">
        <v>1140</v>
      </c>
    </row>
    <row r="1032" spans="1:5">
      <c r="A1032" s="73">
        <v>1031</v>
      </c>
      <c r="B1032" s="74" t="s">
        <v>116</v>
      </c>
      <c r="C1032" s="77">
        <v>11354131</v>
      </c>
      <c r="D1032" s="71" t="s">
        <v>1162</v>
      </c>
      <c r="E1032" s="71" t="s">
        <v>1140</v>
      </c>
    </row>
    <row r="1033" spans="1:5">
      <c r="A1033" s="73">
        <v>1032</v>
      </c>
      <c r="B1033" s="74" t="s">
        <v>116</v>
      </c>
      <c r="C1033" s="77">
        <v>11351378</v>
      </c>
      <c r="D1033" s="71" t="s">
        <v>1163</v>
      </c>
      <c r="E1033" s="71" t="s">
        <v>1140</v>
      </c>
    </row>
    <row r="1034" spans="1:5">
      <c r="A1034" s="73">
        <v>1033</v>
      </c>
      <c r="B1034" s="74" t="s">
        <v>116</v>
      </c>
      <c r="C1034" s="77">
        <v>11289686</v>
      </c>
      <c r="D1034" s="71" t="s">
        <v>1164</v>
      </c>
      <c r="E1034" s="71" t="s">
        <v>1140</v>
      </c>
    </row>
    <row r="1035" spans="1:5">
      <c r="A1035" s="73">
        <v>1034</v>
      </c>
      <c r="B1035" s="74" t="s">
        <v>116</v>
      </c>
      <c r="C1035" s="77">
        <v>11352856</v>
      </c>
      <c r="D1035" s="71" t="s">
        <v>1165</v>
      </c>
      <c r="E1035" s="71" t="s">
        <v>1140</v>
      </c>
    </row>
    <row r="1036" spans="1:5">
      <c r="A1036" s="73">
        <v>1035</v>
      </c>
      <c r="B1036" s="74" t="s">
        <v>116</v>
      </c>
      <c r="C1036" s="77">
        <v>11353436</v>
      </c>
      <c r="D1036" s="71" t="s">
        <v>1166</v>
      </c>
      <c r="E1036" s="71" t="s">
        <v>1140</v>
      </c>
    </row>
    <row r="1037" spans="1:5">
      <c r="A1037" s="73">
        <v>1036</v>
      </c>
      <c r="B1037" s="74" t="s">
        <v>116</v>
      </c>
      <c r="C1037" s="77">
        <v>11351085</v>
      </c>
      <c r="D1037" s="71" t="s">
        <v>1167</v>
      </c>
      <c r="E1037" s="71" t="s">
        <v>1140</v>
      </c>
    </row>
    <row r="1038" spans="1:5">
      <c r="A1038" s="73">
        <v>1037</v>
      </c>
      <c r="B1038" s="74" t="s">
        <v>116</v>
      </c>
      <c r="C1038" s="77">
        <v>11353593</v>
      </c>
      <c r="D1038" s="71" t="s">
        <v>1168</v>
      </c>
      <c r="E1038" s="71" t="s">
        <v>1140</v>
      </c>
    </row>
    <row r="1039" spans="1:5">
      <c r="A1039" s="73">
        <v>1038</v>
      </c>
      <c r="B1039" s="74" t="s">
        <v>116</v>
      </c>
      <c r="C1039" s="77">
        <v>11351373</v>
      </c>
      <c r="D1039" s="71" t="s">
        <v>1169</v>
      </c>
      <c r="E1039" s="71" t="s">
        <v>1140</v>
      </c>
    </row>
    <row r="1040" spans="1:5">
      <c r="A1040" s="73">
        <v>1039</v>
      </c>
      <c r="B1040" s="74" t="s">
        <v>116</v>
      </c>
      <c r="C1040" s="77">
        <v>11353446</v>
      </c>
      <c r="D1040" s="71" t="s">
        <v>1170</v>
      </c>
      <c r="E1040" s="71" t="s">
        <v>1140</v>
      </c>
    </row>
    <row r="1041" spans="1:5">
      <c r="A1041" s="73">
        <v>1040</v>
      </c>
      <c r="B1041" s="74" t="s">
        <v>116</v>
      </c>
      <c r="C1041" s="77">
        <v>11355044</v>
      </c>
      <c r="D1041" s="71" t="s">
        <v>1171</v>
      </c>
      <c r="E1041" s="71" t="s">
        <v>1140</v>
      </c>
    </row>
    <row r="1042" spans="1:5">
      <c r="A1042" s="73">
        <v>1041</v>
      </c>
      <c r="B1042" s="74" t="s">
        <v>116</v>
      </c>
      <c r="C1042" s="77">
        <v>11354450</v>
      </c>
      <c r="D1042" s="71" t="s">
        <v>1172</v>
      </c>
      <c r="E1042" s="71" t="s">
        <v>1140</v>
      </c>
    </row>
    <row r="1043" spans="1:5">
      <c r="A1043" s="73">
        <v>1042</v>
      </c>
      <c r="B1043" s="74" t="s">
        <v>116</v>
      </c>
      <c r="C1043" s="77">
        <v>11332127</v>
      </c>
      <c r="D1043" s="71" t="s">
        <v>1173</v>
      </c>
      <c r="E1043" s="71" t="s">
        <v>1140</v>
      </c>
    </row>
    <row r="1044" spans="1:5">
      <c r="A1044" s="73">
        <v>1043</v>
      </c>
      <c r="B1044" s="74" t="s">
        <v>116</v>
      </c>
      <c r="C1044" s="77">
        <v>11350980</v>
      </c>
      <c r="D1044" s="71" t="s">
        <v>1174</v>
      </c>
      <c r="E1044" s="71" t="s">
        <v>1140</v>
      </c>
    </row>
    <row r="1045" spans="1:5">
      <c r="A1045" s="73">
        <v>1044</v>
      </c>
      <c r="B1045" s="74" t="s">
        <v>116</v>
      </c>
      <c r="C1045" s="77">
        <v>11350342</v>
      </c>
      <c r="D1045" s="71" t="s">
        <v>1175</v>
      </c>
      <c r="E1045" s="71" t="s">
        <v>1140</v>
      </c>
    </row>
    <row r="1046" spans="1:5">
      <c r="A1046" s="73">
        <v>1045</v>
      </c>
      <c r="B1046" s="74" t="s">
        <v>116</v>
      </c>
      <c r="C1046" s="77">
        <v>11351993</v>
      </c>
      <c r="D1046" s="71" t="s">
        <v>1176</v>
      </c>
      <c r="E1046" s="71" t="s">
        <v>1140</v>
      </c>
    </row>
    <row r="1047" spans="1:5">
      <c r="A1047" s="73">
        <v>1046</v>
      </c>
      <c r="B1047" s="74" t="s">
        <v>116</v>
      </c>
      <c r="C1047" s="77">
        <v>11354449</v>
      </c>
      <c r="D1047" s="71" t="s">
        <v>1177</v>
      </c>
      <c r="E1047" s="71" t="s">
        <v>1140</v>
      </c>
    </row>
    <row r="1048" spans="1:5">
      <c r="A1048" s="73">
        <v>1047</v>
      </c>
      <c r="B1048" s="74" t="s">
        <v>116</v>
      </c>
      <c r="C1048" s="77">
        <v>11353588</v>
      </c>
      <c r="D1048" s="71" t="s">
        <v>1178</v>
      </c>
      <c r="E1048" s="71" t="s">
        <v>1140</v>
      </c>
    </row>
    <row r="1049" spans="1:5">
      <c r="A1049" s="73">
        <v>1048</v>
      </c>
      <c r="B1049" s="74" t="s">
        <v>116</v>
      </c>
      <c r="C1049" s="77">
        <v>11335665</v>
      </c>
      <c r="D1049" s="71" t="s">
        <v>1179</v>
      </c>
      <c r="E1049" s="71" t="s">
        <v>1140</v>
      </c>
    </row>
    <row r="1050" spans="1:5">
      <c r="A1050" s="73">
        <v>1049</v>
      </c>
      <c r="B1050" s="74" t="s">
        <v>116</v>
      </c>
      <c r="C1050" s="77">
        <v>11335775</v>
      </c>
      <c r="D1050" s="71" t="s">
        <v>1180</v>
      </c>
      <c r="E1050" s="71" t="s">
        <v>1140</v>
      </c>
    </row>
    <row r="1051" spans="1:5">
      <c r="A1051" s="73">
        <v>1050</v>
      </c>
      <c r="B1051" s="74" t="s">
        <v>116</v>
      </c>
      <c r="C1051" s="77">
        <v>11353976</v>
      </c>
      <c r="D1051" s="71" t="s">
        <v>1181</v>
      </c>
      <c r="E1051" s="71" t="s">
        <v>1140</v>
      </c>
    </row>
    <row r="1052" spans="1:5">
      <c r="A1052" s="73">
        <v>1051</v>
      </c>
      <c r="B1052" s="74" t="s">
        <v>116</v>
      </c>
      <c r="C1052" s="77">
        <v>11285549</v>
      </c>
      <c r="D1052" s="71" t="s">
        <v>1182</v>
      </c>
      <c r="E1052" s="71" t="s">
        <v>1140</v>
      </c>
    </row>
    <row r="1053" spans="1:5">
      <c r="A1053" s="73">
        <v>1052</v>
      </c>
      <c r="B1053" s="74" t="s">
        <v>116</v>
      </c>
      <c r="C1053" s="77">
        <v>11350832</v>
      </c>
      <c r="D1053" s="71" t="s">
        <v>1183</v>
      </c>
      <c r="E1053" s="71" t="s">
        <v>1140</v>
      </c>
    </row>
    <row r="1054" spans="1:5">
      <c r="A1054" s="73">
        <v>1053</v>
      </c>
      <c r="B1054" s="74" t="s">
        <v>116</v>
      </c>
      <c r="C1054" s="77">
        <v>11353082</v>
      </c>
      <c r="D1054" s="71" t="s">
        <v>1184</v>
      </c>
      <c r="E1054" s="71" t="s">
        <v>1140</v>
      </c>
    </row>
    <row r="1055" spans="1:5">
      <c r="A1055" s="73">
        <v>1054</v>
      </c>
      <c r="B1055" s="74" t="s">
        <v>116</v>
      </c>
      <c r="C1055" s="77">
        <v>11354620</v>
      </c>
      <c r="D1055" s="71" t="s">
        <v>1185</v>
      </c>
      <c r="E1055" s="71" t="s">
        <v>1140</v>
      </c>
    </row>
    <row r="1056" spans="1:5">
      <c r="A1056" s="73">
        <v>1055</v>
      </c>
      <c r="B1056" s="74" t="s">
        <v>116</v>
      </c>
      <c r="C1056" s="77">
        <v>11337848</v>
      </c>
      <c r="D1056" s="71" t="s">
        <v>1186</v>
      </c>
      <c r="E1056" s="71" t="s">
        <v>1140</v>
      </c>
    </row>
    <row r="1057" spans="1:5">
      <c r="A1057" s="73">
        <v>1056</v>
      </c>
      <c r="B1057" s="74" t="s">
        <v>116</v>
      </c>
      <c r="C1057" s="77">
        <v>11334144</v>
      </c>
      <c r="D1057" s="71" t="s">
        <v>1187</v>
      </c>
      <c r="E1057" s="71" t="s">
        <v>1140</v>
      </c>
    </row>
    <row r="1058" spans="1:5">
      <c r="A1058" s="73">
        <v>1057</v>
      </c>
      <c r="B1058" s="74" t="s">
        <v>116</v>
      </c>
      <c r="C1058" s="77">
        <v>11352393</v>
      </c>
      <c r="D1058" s="71" t="s">
        <v>1188</v>
      </c>
      <c r="E1058" s="71" t="s">
        <v>1140</v>
      </c>
    </row>
    <row r="1059" spans="1:5">
      <c r="A1059" s="73">
        <v>1058</v>
      </c>
      <c r="B1059" s="74" t="s">
        <v>116</v>
      </c>
      <c r="C1059" s="77">
        <v>11352082</v>
      </c>
      <c r="D1059" s="71" t="s">
        <v>1189</v>
      </c>
      <c r="E1059" s="71" t="s">
        <v>1140</v>
      </c>
    </row>
    <row r="1060" spans="1:5">
      <c r="A1060" s="73">
        <v>1059</v>
      </c>
      <c r="B1060" s="74" t="s">
        <v>116</v>
      </c>
      <c r="C1060" s="77">
        <v>11353873</v>
      </c>
      <c r="D1060" s="71" t="s">
        <v>1190</v>
      </c>
      <c r="E1060" s="71" t="s">
        <v>1140</v>
      </c>
    </row>
    <row r="1061" spans="1:5">
      <c r="A1061" s="73">
        <v>1060</v>
      </c>
      <c r="B1061" s="74" t="s">
        <v>116</v>
      </c>
      <c r="C1061" s="77">
        <v>11352489</v>
      </c>
      <c r="D1061" s="71" t="s">
        <v>1191</v>
      </c>
      <c r="E1061" s="71" t="s">
        <v>1140</v>
      </c>
    </row>
    <row r="1062" spans="1:5">
      <c r="A1062" s="73">
        <v>1061</v>
      </c>
      <c r="B1062" s="74" t="s">
        <v>116</v>
      </c>
      <c r="C1062" s="77">
        <v>11347364</v>
      </c>
      <c r="D1062" s="71" t="s">
        <v>1192</v>
      </c>
      <c r="E1062" s="71" t="s">
        <v>1140</v>
      </c>
    </row>
    <row r="1063" spans="1:5">
      <c r="A1063" s="73">
        <v>1062</v>
      </c>
      <c r="B1063" s="74" t="s">
        <v>116</v>
      </c>
      <c r="C1063" s="77">
        <v>11350429</v>
      </c>
      <c r="D1063" s="71" t="s">
        <v>1193</v>
      </c>
      <c r="E1063" s="71" t="s">
        <v>1140</v>
      </c>
    </row>
    <row r="1064" spans="1:5">
      <c r="A1064" s="73">
        <v>1063</v>
      </c>
      <c r="B1064" s="74" t="s">
        <v>116</v>
      </c>
      <c r="C1064" s="77">
        <v>11351078</v>
      </c>
      <c r="D1064" s="71" t="s">
        <v>1194</v>
      </c>
      <c r="E1064" s="71" t="s">
        <v>1140</v>
      </c>
    </row>
    <row r="1065" spans="1:5">
      <c r="A1065" s="73">
        <v>1064</v>
      </c>
      <c r="B1065" s="74" t="s">
        <v>116</v>
      </c>
      <c r="C1065" s="77">
        <v>11350072</v>
      </c>
      <c r="D1065" s="71" t="s">
        <v>1195</v>
      </c>
      <c r="E1065" s="71" t="s">
        <v>1140</v>
      </c>
    </row>
    <row r="1066" spans="1:5">
      <c r="A1066" s="73">
        <v>1065</v>
      </c>
      <c r="B1066" s="74" t="s">
        <v>116</v>
      </c>
      <c r="C1066" s="77">
        <v>11354356</v>
      </c>
      <c r="D1066" s="71" t="s">
        <v>1196</v>
      </c>
      <c r="E1066" s="71" t="s">
        <v>1140</v>
      </c>
    </row>
    <row r="1067" spans="1:5">
      <c r="A1067" s="73">
        <v>1066</v>
      </c>
      <c r="B1067" s="74" t="s">
        <v>116</v>
      </c>
      <c r="C1067" s="77">
        <v>11303569</v>
      </c>
      <c r="D1067" s="71" t="s">
        <v>1197</v>
      </c>
      <c r="E1067" s="71" t="s">
        <v>1140</v>
      </c>
    </row>
    <row r="1068" spans="1:5">
      <c r="A1068" s="73">
        <v>1067</v>
      </c>
      <c r="B1068" s="74" t="s">
        <v>116</v>
      </c>
      <c r="C1068" s="77">
        <v>11351670</v>
      </c>
      <c r="D1068" s="71" t="s">
        <v>1198</v>
      </c>
      <c r="E1068" s="71" t="s">
        <v>1199</v>
      </c>
    </row>
    <row r="1069" spans="1:5">
      <c r="A1069" s="73">
        <v>1068</v>
      </c>
      <c r="B1069" s="74" t="s">
        <v>116</v>
      </c>
      <c r="C1069" s="77">
        <v>11354011</v>
      </c>
      <c r="D1069" s="71" t="s">
        <v>1200</v>
      </c>
      <c r="E1069" s="71" t="s">
        <v>1199</v>
      </c>
    </row>
    <row r="1070" spans="1:5">
      <c r="A1070" s="73">
        <v>1069</v>
      </c>
      <c r="B1070" s="74" t="s">
        <v>116</v>
      </c>
      <c r="C1070" s="77">
        <v>11347770</v>
      </c>
      <c r="D1070" s="71" t="s">
        <v>1201</v>
      </c>
      <c r="E1070" s="71" t="s">
        <v>1199</v>
      </c>
    </row>
    <row r="1071" spans="1:5">
      <c r="A1071" s="73">
        <v>1070</v>
      </c>
      <c r="B1071" s="74" t="s">
        <v>116</v>
      </c>
      <c r="C1071" s="77">
        <v>11287597</v>
      </c>
      <c r="D1071" s="71" t="s">
        <v>1202</v>
      </c>
      <c r="E1071" s="71" t="s">
        <v>1199</v>
      </c>
    </row>
    <row r="1072" spans="1:5">
      <c r="A1072" s="73">
        <v>1071</v>
      </c>
      <c r="B1072" s="74" t="s">
        <v>116</v>
      </c>
      <c r="C1072" s="77">
        <v>11353098</v>
      </c>
      <c r="D1072" s="71" t="s">
        <v>1203</v>
      </c>
      <c r="E1072" s="71" t="s">
        <v>1199</v>
      </c>
    </row>
    <row r="1073" spans="1:5">
      <c r="A1073" s="73">
        <v>1072</v>
      </c>
      <c r="B1073" s="74" t="s">
        <v>116</v>
      </c>
      <c r="C1073" s="77">
        <v>11353815</v>
      </c>
      <c r="D1073" s="71" t="s">
        <v>1204</v>
      </c>
      <c r="E1073" s="71" t="s">
        <v>1199</v>
      </c>
    </row>
    <row r="1074" spans="1:5">
      <c r="A1074" s="73">
        <v>1073</v>
      </c>
      <c r="B1074" s="74" t="s">
        <v>116</v>
      </c>
      <c r="C1074" s="77">
        <v>11350646</v>
      </c>
      <c r="D1074" s="71" t="s">
        <v>1205</v>
      </c>
      <c r="E1074" s="71" t="s">
        <v>1199</v>
      </c>
    </row>
    <row r="1075" spans="1:5">
      <c r="A1075" s="73">
        <v>1074</v>
      </c>
      <c r="B1075" s="74" t="s">
        <v>116</v>
      </c>
      <c r="C1075" s="77">
        <v>11330028</v>
      </c>
      <c r="D1075" s="71" t="s">
        <v>1206</v>
      </c>
      <c r="E1075" s="71" t="s">
        <v>1199</v>
      </c>
    </row>
    <row r="1076" spans="1:5">
      <c r="A1076" s="73">
        <v>1075</v>
      </c>
      <c r="B1076" s="74" t="s">
        <v>116</v>
      </c>
      <c r="C1076" s="77">
        <v>11354276</v>
      </c>
      <c r="D1076" s="71" t="s">
        <v>1207</v>
      </c>
      <c r="E1076" s="71" t="s">
        <v>1199</v>
      </c>
    </row>
    <row r="1077" spans="1:5">
      <c r="A1077" s="73">
        <v>1076</v>
      </c>
      <c r="B1077" s="74" t="s">
        <v>116</v>
      </c>
      <c r="C1077" s="77">
        <v>11272731</v>
      </c>
      <c r="D1077" s="71" t="s">
        <v>1208</v>
      </c>
      <c r="E1077" s="71" t="s">
        <v>1199</v>
      </c>
    </row>
    <row r="1078" spans="1:5">
      <c r="A1078" s="73">
        <v>1077</v>
      </c>
      <c r="B1078" s="74" t="s">
        <v>116</v>
      </c>
      <c r="C1078" s="77">
        <v>11347884</v>
      </c>
      <c r="D1078" s="71" t="s">
        <v>1209</v>
      </c>
      <c r="E1078" s="71" t="s">
        <v>1199</v>
      </c>
    </row>
    <row r="1079" spans="1:5">
      <c r="A1079" s="73">
        <v>1078</v>
      </c>
      <c r="B1079" s="74" t="s">
        <v>116</v>
      </c>
      <c r="C1079" s="77">
        <v>11353709</v>
      </c>
      <c r="D1079" s="71" t="s">
        <v>1210</v>
      </c>
      <c r="E1079" s="71" t="s">
        <v>1199</v>
      </c>
    </row>
    <row r="1080" spans="1:5">
      <c r="A1080" s="73">
        <v>1079</v>
      </c>
      <c r="B1080" s="74" t="s">
        <v>116</v>
      </c>
      <c r="C1080" s="77">
        <v>11350082</v>
      </c>
      <c r="D1080" s="71" t="s">
        <v>1211</v>
      </c>
      <c r="E1080" s="71" t="s">
        <v>1199</v>
      </c>
    </row>
    <row r="1081" spans="1:5">
      <c r="A1081" s="73">
        <v>1080</v>
      </c>
      <c r="B1081" s="74" t="s">
        <v>116</v>
      </c>
      <c r="C1081" s="77">
        <v>11354757</v>
      </c>
      <c r="D1081" s="71" t="s">
        <v>1212</v>
      </c>
      <c r="E1081" s="71" t="s">
        <v>1199</v>
      </c>
    </row>
    <row r="1082" spans="1:5">
      <c r="A1082" s="73">
        <v>1081</v>
      </c>
      <c r="B1082" s="74" t="s">
        <v>116</v>
      </c>
      <c r="C1082" s="77">
        <v>11352829</v>
      </c>
      <c r="D1082" s="71" t="s">
        <v>1213</v>
      </c>
      <c r="E1082" s="71" t="s">
        <v>1199</v>
      </c>
    </row>
    <row r="1083" spans="1:5">
      <c r="A1083" s="73">
        <v>1082</v>
      </c>
      <c r="B1083" s="74" t="s">
        <v>116</v>
      </c>
      <c r="C1083" s="77">
        <v>11353899</v>
      </c>
      <c r="D1083" s="71" t="s">
        <v>1214</v>
      </c>
      <c r="E1083" s="71" t="s">
        <v>1199</v>
      </c>
    </row>
    <row r="1084" spans="1:5">
      <c r="A1084" s="73">
        <v>1083</v>
      </c>
      <c r="B1084" s="74" t="s">
        <v>116</v>
      </c>
      <c r="C1084" s="77">
        <v>11351013</v>
      </c>
      <c r="D1084" s="71" t="s">
        <v>1215</v>
      </c>
      <c r="E1084" s="71" t="s">
        <v>1199</v>
      </c>
    </row>
    <row r="1085" spans="1:5">
      <c r="A1085" s="73">
        <v>1084</v>
      </c>
      <c r="B1085" s="74" t="s">
        <v>116</v>
      </c>
      <c r="C1085" s="77">
        <v>11352064</v>
      </c>
      <c r="D1085" s="71" t="s">
        <v>1216</v>
      </c>
      <c r="E1085" s="71" t="s">
        <v>1199</v>
      </c>
    </row>
    <row r="1086" spans="1:5">
      <c r="A1086" s="73">
        <v>1085</v>
      </c>
      <c r="B1086" s="74" t="s">
        <v>116</v>
      </c>
      <c r="C1086" s="77">
        <v>11352817</v>
      </c>
      <c r="D1086" s="71" t="s">
        <v>1217</v>
      </c>
      <c r="E1086" s="71" t="s">
        <v>1199</v>
      </c>
    </row>
    <row r="1087" spans="1:5">
      <c r="A1087" s="73">
        <v>1086</v>
      </c>
      <c r="B1087" s="74" t="s">
        <v>116</v>
      </c>
      <c r="C1087" s="77">
        <v>11351088</v>
      </c>
      <c r="D1087" s="71" t="s">
        <v>1218</v>
      </c>
      <c r="E1087" s="71" t="s">
        <v>1199</v>
      </c>
    </row>
    <row r="1088" spans="1:5">
      <c r="A1088" s="73">
        <v>1087</v>
      </c>
      <c r="B1088" s="74" t="s">
        <v>116</v>
      </c>
      <c r="C1088" s="77">
        <v>11351391</v>
      </c>
      <c r="D1088" s="71" t="s">
        <v>1219</v>
      </c>
      <c r="E1088" s="71" t="s">
        <v>1199</v>
      </c>
    </row>
    <row r="1089" spans="1:5">
      <c r="A1089" s="73">
        <v>1088</v>
      </c>
      <c r="B1089" s="74" t="s">
        <v>116</v>
      </c>
      <c r="C1089" s="77">
        <v>11353212</v>
      </c>
      <c r="D1089" s="71" t="s">
        <v>1220</v>
      </c>
      <c r="E1089" s="71" t="s">
        <v>1199</v>
      </c>
    </row>
    <row r="1090" spans="1:5">
      <c r="A1090" s="73">
        <v>1089</v>
      </c>
      <c r="B1090" s="74" t="s">
        <v>116</v>
      </c>
      <c r="C1090" s="77">
        <v>11351778</v>
      </c>
      <c r="D1090" s="71" t="s">
        <v>1221</v>
      </c>
      <c r="E1090" s="71" t="s">
        <v>1199</v>
      </c>
    </row>
    <row r="1091" spans="1:5">
      <c r="A1091" s="73">
        <v>1090</v>
      </c>
      <c r="B1091" s="74" t="s">
        <v>116</v>
      </c>
      <c r="C1091" s="77">
        <v>11347304</v>
      </c>
      <c r="D1091" s="71" t="s">
        <v>1222</v>
      </c>
      <c r="E1091" s="71" t="s">
        <v>1199</v>
      </c>
    </row>
    <row r="1092" spans="1:5">
      <c r="A1092" s="73">
        <v>1091</v>
      </c>
      <c r="B1092" s="74" t="s">
        <v>116</v>
      </c>
      <c r="C1092" s="77">
        <v>11352603</v>
      </c>
      <c r="D1092" s="71" t="s">
        <v>1223</v>
      </c>
      <c r="E1092" s="71" t="s">
        <v>1199</v>
      </c>
    </row>
    <row r="1093" spans="1:5">
      <c r="A1093" s="73">
        <v>1092</v>
      </c>
      <c r="B1093" s="74" t="s">
        <v>116</v>
      </c>
      <c r="C1093" s="77">
        <v>11353218</v>
      </c>
      <c r="D1093" s="71" t="s">
        <v>1224</v>
      </c>
      <c r="E1093" s="71" t="s">
        <v>1199</v>
      </c>
    </row>
    <row r="1094" spans="1:5">
      <c r="A1094" s="73">
        <v>1093</v>
      </c>
      <c r="B1094" s="74" t="s">
        <v>116</v>
      </c>
      <c r="C1094" s="77">
        <v>11351739</v>
      </c>
      <c r="D1094" s="71" t="s">
        <v>1225</v>
      </c>
      <c r="E1094" s="71" t="s">
        <v>1199</v>
      </c>
    </row>
    <row r="1095" spans="1:5">
      <c r="A1095" s="73">
        <v>1094</v>
      </c>
      <c r="B1095" s="74" t="s">
        <v>116</v>
      </c>
      <c r="C1095" s="77">
        <v>11353783</v>
      </c>
      <c r="D1095" s="71" t="s">
        <v>1226</v>
      </c>
      <c r="E1095" s="71" t="s">
        <v>1199</v>
      </c>
    </row>
    <row r="1096" spans="1:5">
      <c r="A1096" s="73">
        <v>1095</v>
      </c>
      <c r="B1096" s="74" t="s">
        <v>116</v>
      </c>
      <c r="C1096" s="77">
        <v>11352609</v>
      </c>
      <c r="D1096" s="71" t="s">
        <v>1227</v>
      </c>
      <c r="E1096" s="71" t="s">
        <v>1199</v>
      </c>
    </row>
    <row r="1097" spans="1:5">
      <c r="A1097" s="73">
        <v>1096</v>
      </c>
      <c r="B1097" s="74" t="s">
        <v>116</v>
      </c>
      <c r="C1097" s="77">
        <v>11353229</v>
      </c>
      <c r="D1097" s="71" t="s">
        <v>1228</v>
      </c>
      <c r="E1097" s="71" t="s">
        <v>1199</v>
      </c>
    </row>
    <row r="1098" spans="1:5">
      <c r="A1098" s="73">
        <v>1097</v>
      </c>
      <c r="B1098" s="74" t="s">
        <v>116</v>
      </c>
      <c r="C1098" s="77">
        <v>11352127</v>
      </c>
      <c r="D1098" s="71" t="s">
        <v>1229</v>
      </c>
      <c r="E1098" s="71" t="s">
        <v>1199</v>
      </c>
    </row>
    <row r="1099" spans="1:5">
      <c r="A1099" s="73">
        <v>1098</v>
      </c>
      <c r="B1099" s="74" t="s">
        <v>116</v>
      </c>
      <c r="C1099" s="77">
        <v>11353176</v>
      </c>
      <c r="D1099" s="71" t="s">
        <v>1230</v>
      </c>
      <c r="E1099" s="71" t="s">
        <v>1199</v>
      </c>
    </row>
    <row r="1100" spans="1:5">
      <c r="A1100" s="73">
        <v>1099</v>
      </c>
      <c r="B1100" s="74" t="s">
        <v>116</v>
      </c>
      <c r="C1100" s="77">
        <v>11354048</v>
      </c>
      <c r="D1100" s="71" t="s">
        <v>1231</v>
      </c>
      <c r="E1100" s="71" t="s">
        <v>1199</v>
      </c>
    </row>
    <row r="1101" spans="1:5">
      <c r="A1101" s="73">
        <v>1100</v>
      </c>
      <c r="B1101" s="74" t="s">
        <v>116</v>
      </c>
      <c r="C1101" s="77">
        <v>11352252</v>
      </c>
      <c r="D1101" s="71" t="s">
        <v>1232</v>
      </c>
      <c r="E1101" s="71" t="s">
        <v>1199</v>
      </c>
    </row>
    <row r="1102" spans="1:5">
      <c r="A1102" s="73">
        <v>1101</v>
      </c>
      <c r="B1102" s="74" t="s">
        <v>116</v>
      </c>
      <c r="C1102" s="77">
        <v>11353805</v>
      </c>
      <c r="D1102" s="71" t="s">
        <v>1233</v>
      </c>
      <c r="E1102" s="71" t="s">
        <v>1199</v>
      </c>
    </row>
    <row r="1103" spans="1:5">
      <c r="A1103" s="73">
        <v>1102</v>
      </c>
      <c r="B1103" s="74" t="s">
        <v>116</v>
      </c>
      <c r="C1103" s="77">
        <v>11351374</v>
      </c>
      <c r="D1103" s="71" t="s">
        <v>1234</v>
      </c>
      <c r="E1103" s="71" t="s">
        <v>1199</v>
      </c>
    </row>
    <row r="1104" spans="1:5">
      <c r="A1104" s="73">
        <v>1103</v>
      </c>
      <c r="B1104" s="74" t="s">
        <v>116</v>
      </c>
      <c r="C1104" s="77">
        <v>11351604</v>
      </c>
      <c r="D1104" s="71" t="s">
        <v>1235</v>
      </c>
      <c r="E1104" s="71" t="s">
        <v>1199</v>
      </c>
    </row>
    <row r="1105" spans="1:5">
      <c r="A1105" s="73">
        <v>1104</v>
      </c>
      <c r="B1105" s="74" t="s">
        <v>116</v>
      </c>
      <c r="C1105" s="77">
        <v>11352105</v>
      </c>
      <c r="D1105" s="71" t="s">
        <v>1236</v>
      </c>
      <c r="E1105" s="71" t="s">
        <v>1199</v>
      </c>
    </row>
    <row r="1106" spans="1:5">
      <c r="A1106" s="73">
        <v>1105</v>
      </c>
      <c r="B1106" s="74" t="s">
        <v>116</v>
      </c>
      <c r="C1106" s="77">
        <v>11354302</v>
      </c>
      <c r="D1106" s="71" t="s">
        <v>1237</v>
      </c>
      <c r="E1106" s="71" t="s">
        <v>1199</v>
      </c>
    </row>
    <row r="1107" spans="1:5">
      <c r="A1107" s="73">
        <v>1106</v>
      </c>
      <c r="B1107" s="74" t="s">
        <v>116</v>
      </c>
      <c r="C1107" s="77">
        <v>11352485</v>
      </c>
      <c r="D1107" s="71" t="s">
        <v>1238</v>
      </c>
      <c r="E1107" s="71" t="s">
        <v>1199</v>
      </c>
    </row>
    <row r="1108" spans="1:5">
      <c r="A1108" s="73">
        <v>1107</v>
      </c>
      <c r="B1108" s="74" t="s">
        <v>116</v>
      </c>
      <c r="C1108" s="77">
        <v>11354911</v>
      </c>
      <c r="D1108" s="71" t="s">
        <v>1239</v>
      </c>
      <c r="E1108" s="71" t="s">
        <v>1199</v>
      </c>
    </row>
    <row r="1109" spans="1:5">
      <c r="A1109" s="73">
        <v>1108</v>
      </c>
      <c r="B1109" s="74" t="s">
        <v>116</v>
      </c>
      <c r="C1109" s="77">
        <v>11353879</v>
      </c>
      <c r="D1109" s="71" t="s">
        <v>1240</v>
      </c>
      <c r="E1109" s="71" t="s">
        <v>1199</v>
      </c>
    </row>
    <row r="1110" spans="1:5">
      <c r="A1110" s="73">
        <v>1109</v>
      </c>
      <c r="B1110" s="74" t="s">
        <v>116</v>
      </c>
      <c r="C1110" s="77">
        <v>11354822</v>
      </c>
      <c r="D1110" s="71" t="s">
        <v>1241</v>
      </c>
      <c r="E1110" s="71" t="s">
        <v>1199</v>
      </c>
    </row>
    <row r="1111" spans="1:5">
      <c r="A1111" s="73">
        <v>1110</v>
      </c>
      <c r="B1111" s="74" t="s">
        <v>116</v>
      </c>
      <c r="C1111" s="77">
        <v>11354119</v>
      </c>
      <c r="D1111" s="71" t="s">
        <v>1242</v>
      </c>
      <c r="E1111" s="71" t="s">
        <v>1199</v>
      </c>
    </row>
    <row r="1112" spans="1:5">
      <c r="A1112" s="73">
        <v>1111</v>
      </c>
      <c r="B1112" s="74" t="s">
        <v>116</v>
      </c>
      <c r="C1112" s="77">
        <v>11352588</v>
      </c>
      <c r="D1112" s="71" t="s">
        <v>1243</v>
      </c>
      <c r="E1112" s="71" t="s">
        <v>1199</v>
      </c>
    </row>
    <row r="1113" spans="1:5">
      <c r="A1113" s="73">
        <v>1112</v>
      </c>
      <c r="B1113" s="74" t="s">
        <v>116</v>
      </c>
      <c r="C1113" s="77">
        <v>11354840</v>
      </c>
      <c r="D1113" s="71" t="s">
        <v>1244</v>
      </c>
      <c r="E1113" s="71" t="s">
        <v>1199</v>
      </c>
    </row>
    <row r="1114" spans="1:5">
      <c r="A1114" s="73">
        <v>1113</v>
      </c>
      <c r="B1114" s="74" t="s">
        <v>116</v>
      </c>
      <c r="C1114" s="77">
        <v>11352600</v>
      </c>
      <c r="D1114" s="71" t="s">
        <v>1245</v>
      </c>
      <c r="E1114" s="71" t="s">
        <v>1199</v>
      </c>
    </row>
    <row r="1115" spans="1:5">
      <c r="A1115" s="73">
        <v>1114</v>
      </c>
      <c r="B1115" s="74" t="s">
        <v>116</v>
      </c>
      <c r="C1115" s="77">
        <v>11352882</v>
      </c>
      <c r="D1115" s="71" t="s">
        <v>1246</v>
      </c>
      <c r="E1115" s="71" t="s">
        <v>1199</v>
      </c>
    </row>
    <row r="1116" spans="1:5">
      <c r="A1116" s="73">
        <v>1115</v>
      </c>
      <c r="B1116" s="74" t="s">
        <v>116</v>
      </c>
      <c r="C1116" s="77">
        <v>11353089</v>
      </c>
      <c r="D1116" s="71" t="s">
        <v>1247</v>
      </c>
      <c r="E1116" s="71" t="s">
        <v>1199</v>
      </c>
    </row>
    <row r="1117" spans="1:5">
      <c r="A1117" s="73">
        <v>1116</v>
      </c>
      <c r="B1117" s="74" t="s">
        <v>116</v>
      </c>
      <c r="C1117" s="77">
        <v>11353508</v>
      </c>
      <c r="D1117" s="71" t="s">
        <v>1248</v>
      </c>
      <c r="E1117" s="71" t="s">
        <v>1199</v>
      </c>
    </row>
    <row r="1118" spans="1:5">
      <c r="A1118" s="73">
        <v>1117</v>
      </c>
      <c r="B1118" s="74" t="s">
        <v>116</v>
      </c>
      <c r="C1118" s="77">
        <v>11352544</v>
      </c>
      <c r="D1118" s="71" t="s">
        <v>1249</v>
      </c>
      <c r="E1118" s="71" t="s">
        <v>1199</v>
      </c>
    </row>
    <row r="1119" spans="1:5">
      <c r="A1119" s="73">
        <v>1118</v>
      </c>
      <c r="B1119" s="74" t="s">
        <v>116</v>
      </c>
      <c r="C1119" s="77">
        <v>11355000</v>
      </c>
      <c r="D1119" s="71" t="s">
        <v>1250</v>
      </c>
      <c r="E1119" s="71" t="s">
        <v>1199</v>
      </c>
    </row>
    <row r="1120" spans="1:5">
      <c r="A1120" s="73">
        <v>1119</v>
      </c>
      <c r="B1120" s="74" t="s">
        <v>116</v>
      </c>
      <c r="C1120" s="77">
        <v>11350423</v>
      </c>
      <c r="D1120" s="71" t="s">
        <v>1251</v>
      </c>
      <c r="E1120" s="71" t="s">
        <v>1199</v>
      </c>
    </row>
    <row r="1121" spans="1:5">
      <c r="A1121" s="73">
        <v>1120</v>
      </c>
      <c r="B1121" s="74" t="s">
        <v>116</v>
      </c>
      <c r="C1121" s="77">
        <v>11354991</v>
      </c>
      <c r="D1121" s="71" t="s">
        <v>1252</v>
      </c>
      <c r="E1121" s="71" t="s">
        <v>1199</v>
      </c>
    </row>
    <row r="1122" spans="1:5">
      <c r="A1122" s="73">
        <v>1121</v>
      </c>
      <c r="B1122" s="74" t="s">
        <v>116</v>
      </c>
      <c r="C1122" s="77">
        <v>11354507</v>
      </c>
      <c r="D1122" s="71" t="s">
        <v>1253</v>
      </c>
      <c r="E1122" s="71" t="s">
        <v>1199</v>
      </c>
    </row>
    <row r="1123" spans="1:5">
      <c r="A1123" s="73">
        <v>1122</v>
      </c>
      <c r="B1123" s="74" t="s">
        <v>116</v>
      </c>
      <c r="C1123" s="77">
        <v>11353806</v>
      </c>
      <c r="D1123" s="71" t="s">
        <v>1254</v>
      </c>
      <c r="E1123" s="71" t="s">
        <v>1199</v>
      </c>
    </row>
    <row r="1124" spans="1:5">
      <c r="A1124" s="73">
        <v>1123</v>
      </c>
      <c r="B1124" s="74" t="s">
        <v>116</v>
      </c>
      <c r="C1124" s="77">
        <v>11354357</v>
      </c>
      <c r="D1124" s="71" t="s">
        <v>1255</v>
      </c>
      <c r="E1124" s="71" t="s">
        <v>1199</v>
      </c>
    </row>
    <row r="1125" spans="1:5">
      <c r="A1125" s="73">
        <v>1124</v>
      </c>
      <c r="B1125" s="74" t="s">
        <v>116</v>
      </c>
      <c r="C1125" s="77">
        <v>11352606</v>
      </c>
      <c r="D1125" s="71" t="s">
        <v>1256</v>
      </c>
      <c r="E1125" s="71" t="s">
        <v>1199</v>
      </c>
    </row>
    <row r="1126" spans="1:5">
      <c r="A1126" s="73">
        <v>1125</v>
      </c>
      <c r="B1126" s="74" t="s">
        <v>116</v>
      </c>
      <c r="C1126" s="77">
        <v>11352114</v>
      </c>
      <c r="D1126" s="71" t="s">
        <v>1257</v>
      </c>
      <c r="E1126" s="71" t="s">
        <v>1199</v>
      </c>
    </row>
    <row r="1127" spans="1:5">
      <c r="A1127" s="73">
        <v>1126</v>
      </c>
      <c r="B1127" s="74" t="s">
        <v>116</v>
      </c>
      <c r="C1127" s="77">
        <v>11353909</v>
      </c>
      <c r="D1127" s="71" t="s">
        <v>1258</v>
      </c>
      <c r="E1127" s="71" t="s">
        <v>1199</v>
      </c>
    </row>
    <row r="1128" spans="1:5">
      <c r="A1128" s="73">
        <v>1127</v>
      </c>
      <c r="B1128" s="74" t="s">
        <v>116</v>
      </c>
      <c r="C1128" s="77">
        <v>11351577</v>
      </c>
      <c r="D1128" s="71" t="s">
        <v>1259</v>
      </c>
      <c r="E1128" s="71" t="s">
        <v>1260</v>
      </c>
    </row>
    <row r="1129" spans="1:5">
      <c r="A1129" s="73">
        <v>1128</v>
      </c>
      <c r="B1129" s="74" t="s">
        <v>116</v>
      </c>
      <c r="C1129" s="77">
        <v>11335236</v>
      </c>
      <c r="D1129" s="71" t="s">
        <v>1261</v>
      </c>
      <c r="E1129" s="71" t="s">
        <v>1260</v>
      </c>
    </row>
    <row r="1130" spans="1:5">
      <c r="A1130" s="73">
        <v>1129</v>
      </c>
      <c r="B1130" s="74" t="s">
        <v>116</v>
      </c>
      <c r="C1130" s="77">
        <v>11352591</v>
      </c>
      <c r="D1130" s="71" t="s">
        <v>1262</v>
      </c>
      <c r="E1130" s="71" t="s">
        <v>1260</v>
      </c>
    </row>
    <row r="1131" spans="1:5">
      <c r="A1131" s="73">
        <v>1130</v>
      </c>
      <c r="B1131" s="74" t="s">
        <v>116</v>
      </c>
      <c r="C1131" s="77">
        <v>11316193</v>
      </c>
      <c r="D1131" s="71" t="s">
        <v>1263</v>
      </c>
      <c r="E1131" s="71" t="s">
        <v>1260</v>
      </c>
    </row>
    <row r="1132" spans="1:5">
      <c r="A1132" s="73">
        <v>1131</v>
      </c>
      <c r="B1132" s="74" t="s">
        <v>116</v>
      </c>
      <c r="C1132" s="77">
        <v>11354672</v>
      </c>
      <c r="D1132" s="71" t="s">
        <v>1264</v>
      </c>
      <c r="E1132" s="71" t="s">
        <v>1260</v>
      </c>
    </row>
    <row r="1133" spans="1:5">
      <c r="A1133" s="73">
        <v>1132</v>
      </c>
      <c r="B1133" s="74" t="s">
        <v>116</v>
      </c>
      <c r="C1133" s="77">
        <v>11352597</v>
      </c>
      <c r="D1133" s="71" t="s">
        <v>1265</v>
      </c>
      <c r="E1133" s="71" t="s">
        <v>1260</v>
      </c>
    </row>
    <row r="1134" spans="1:5">
      <c r="A1134" s="73">
        <v>1133</v>
      </c>
      <c r="B1134" s="74" t="s">
        <v>116</v>
      </c>
      <c r="C1134" s="77">
        <v>11354057</v>
      </c>
      <c r="D1134" s="71" t="s">
        <v>1266</v>
      </c>
      <c r="E1134" s="71" t="s">
        <v>1260</v>
      </c>
    </row>
    <row r="1135" spans="1:5">
      <c r="A1135" s="73">
        <v>1134</v>
      </c>
      <c r="B1135" s="74" t="s">
        <v>116</v>
      </c>
      <c r="C1135" s="77">
        <v>11353440</v>
      </c>
      <c r="D1135" s="71" t="s">
        <v>1267</v>
      </c>
      <c r="E1135" s="71" t="s">
        <v>1260</v>
      </c>
    </row>
    <row r="1136" spans="1:5">
      <c r="A1136" s="73">
        <v>1135</v>
      </c>
      <c r="B1136" s="74" t="s">
        <v>116</v>
      </c>
      <c r="C1136" s="77">
        <v>11354322</v>
      </c>
      <c r="D1136" s="71" t="s">
        <v>1268</v>
      </c>
      <c r="E1136" s="71" t="s">
        <v>1260</v>
      </c>
    </row>
    <row r="1137" spans="1:5">
      <c r="A1137" s="73">
        <v>1136</v>
      </c>
      <c r="B1137" s="74" t="s">
        <v>116</v>
      </c>
      <c r="C1137" s="77">
        <v>11354910</v>
      </c>
      <c r="D1137" s="71" t="s">
        <v>1269</v>
      </c>
      <c r="E1137" s="71" t="s">
        <v>1260</v>
      </c>
    </row>
    <row r="1138" spans="1:5">
      <c r="A1138" s="73">
        <v>1137</v>
      </c>
      <c r="B1138" s="74" t="s">
        <v>116</v>
      </c>
      <c r="C1138" s="77">
        <v>11351230</v>
      </c>
      <c r="D1138" s="71" t="s">
        <v>1270</v>
      </c>
      <c r="E1138" s="71" t="s">
        <v>1260</v>
      </c>
    </row>
    <row r="1139" spans="1:5">
      <c r="A1139" s="73">
        <v>1138</v>
      </c>
      <c r="B1139" s="74" t="s">
        <v>116</v>
      </c>
      <c r="C1139" s="77">
        <v>11333954</v>
      </c>
      <c r="D1139" s="71" t="s">
        <v>1271</v>
      </c>
      <c r="E1139" s="71" t="s">
        <v>1260</v>
      </c>
    </row>
    <row r="1140" spans="1:5">
      <c r="A1140" s="73">
        <v>1139</v>
      </c>
      <c r="B1140" s="74" t="s">
        <v>116</v>
      </c>
      <c r="C1140" s="77">
        <v>11354028</v>
      </c>
      <c r="D1140" s="71" t="s">
        <v>1272</v>
      </c>
      <c r="E1140" s="71" t="s">
        <v>1260</v>
      </c>
    </row>
    <row r="1141" spans="1:5">
      <c r="A1141" s="73">
        <v>1140</v>
      </c>
      <c r="B1141" s="74" t="s">
        <v>116</v>
      </c>
      <c r="C1141" s="77">
        <v>11351871</v>
      </c>
      <c r="D1141" s="71" t="s">
        <v>1273</v>
      </c>
      <c r="E1141" s="71" t="s">
        <v>1260</v>
      </c>
    </row>
    <row r="1142" spans="1:5">
      <c r="A1142" s="73">
        <v>1141</v>
      </c>
      <c r="B1142" s="74" t="s">
        <v>116</v>
      </c>
      <c r="C1142" s="77">
        <v>11351904</v>
      </c>
      <c r="D1142" s="71" t="s">
        <v>1274</v>
      </c>
      <c r="E1142" s="71" t="s">
        <v>1260</v>
      </c>
    </row>
    <row r="1143" spans="1:5">
      <c r="A1143" s="73">
        <v>1142</v>
      </c>
      <c r="B1143" s="74" t="s">
        <v>116</v>
      </c>
      <c r="C1143" s="77">
        <v>11351321</v>
      </c>
      <c r="D1143" s="71" t="s">
        <v>1275</v>
      </c>
      <c r="E1143" s="71" t="s">
        <v>1260</v>
      </c>
    </row>
    <row r="1144" spans="1:5">
      <c r="A1144" s="73">
        <v>1143</v>
      </c>
      <c r="B1144" s="74" t="s">
        <v>116</v>
      </c>
      <c r="C1144" s="77">
        <v>11354877</v>
      </c>
      <c r="D1144" s="71" t="s">
        <v>1276</v>
      </c>
      <c r="E1144" s="71" t="s">
        <v>1260</v>
      </c>
    </row>
    <row r="1145" spans="1:5">
      <c r="A1145" s="73">
        <v>1144</v>
      </c>
      <c r="B1145" s="74" t="s">
        <v>116</v>
      </c>
      <c r="C1145" s="77">
        <v>11354010</v>
      </c>
      <c r="D1145" s="71" t="s">
        <v>1277</v>
      </c>
      <c r="E1145" s="71" t="s">
        <v>1260</v>
      </c>
    </row>
    <row r="1146" spans="1:5">
      <c r="A1146" s="73">
        <v>1145</v>
      </c>
      <c r="B1146" s="74" t="s">
        <v>116</v>
      </c>
      <c r="C1146" s="77">
        <v>11354096</v>
      </c>
      <c r="D1146" s="71" t="s">
        <v>1278</v>
      </c>
      <c r="E1146" s="71" t="s">
        <v>1260</v>
      </c>
    </row>
    <row r="1147" spans="1:5">
      <c r="A1147" s="73">
        <v>1146</v>
      </c>
      <c r="B1147" s="74" t="s">
        <v>116</v>
      </c>
      <c r="C1147" s="77">
        <v>11350418</v>
      </c>
      <c r="D1147" s="71" t="s">
        <v>1279</v>
      </c>
      <c r="E1147" s="71" t="s">
        <v>1260</v>
      </c>
    </row>
    <row r="1148" spans="1:5">
      <c r="A1148" s="73">
        <v>1147</v>
      </c>
      <c r="B1148" s="74" t="s">
        <v>116</v>
      </c>
      <c r="C1148" s="77">
        <v>11350834</v>
      </c>
      <c r="D1148" s="71" t="s">
        <v>1280</v>
      </c>
      <c r="E1148" s="71" t="s">
        <v>1260</v>
      </c>
    </row>
    <row r="1149" spans="1:5">
      <c r="A1149" s="73">
        <v>1148</v>
      </c>
      <c r="B1149" s="74" t="s">
        <v>116</v>
      </c>
      <c r="C1149" s="77">
        <v>11353719</v>
      </c>
      <c r="D1149" s="71" t="s">
        <v>1281</v>
      </c>
      <c r="E1149" s="71" t="s">
        <v>1260</v>
      </c>
    </row>
    <row r="1150" spans="1:5">
      <c r="A1150" s="73">
        <v>1149</v>
      </c>
      <c r="B1150" s="74" t="s">
        <v>116</v>
      </c>
      <c r="C1150" s="77">
        <v>11354553</v>
      </c>
      <c r="D1150" s="71" t="s">
        <v>1282</v>
      </c>
      <c r="E1150" s="71" t="s">
        <v>1260</v>
      </c>
    </row>
    <row r="1151" spans="1:5">
      <c r="A1151" s="73">
        <v>1150</v>
      </c>
      <c r="B1151" s="74" t="s">
        <v>116</v>
      </c>
      <c r="C1151" s="77">
        <v>11353895</v>
      </c>
      <c r="D1151" s="71" t="s">
        <v>1283</v>
      </c>
      <c r="E1151" s="71" t="s">
        <v>1260</v>
      </c>
    </row>
    <row r="1152" spans="1:5">
      <c r="A1152" s="73">
        <v>1151</v>
      </c>
      <c r="B1152" s="74" t="s">
        <v>116</v>
      </c>
      <c r="C1152" s="77">
        <v>11353876</v>
      </c>
      <c r="D1152" s="71" t="s">
        <v>1284</v>
      </c>
      <c r="E1152" s="71" t="s">
        <v>1260</v>
      </c>
    </row>
    <row r="1153" spans="1:5">
      <c r="A1153" s="73">
        <v>1152</v>
      </c>
      <c r="B1153" s="74" t="s">
        <v>116</v>
      </c>
      <c r="C1153" s="77">
        <v>11353973</v>
      </c>
      <c r="D1153" s="71" t="s">
        <v>1285</v>
      </c>
      <c r="E1153" s="71" t="s">
        <v>1260</v>
      </c>
    </row>
    <row r="1154" spans="1:5">
      <c r="A1154" s="73">
        <v>1153</v>
      </c>
      <c r="B1154" s="74" t="s">
        <v>116</v>
      </c>
      <c r="C1154" s="77">
        <v>11301912</v>
      </c>
      <c r="D1154" s="71" t="s">
        <v>1286</v>
      </c>
      <c r="E1154" s="71" t="s">
        <v>1260</v>
      </c>
    </row>
    <row r="1155" spans="1:5">
      <c r="A1155" s="73">
        <v>1154</v>
      </c>
      <c r="B1155" s="74" t="s">
        <v>116</v>
      </c>
      <c r="C1155" s="77">
        <v>11354310</v>
      </c>
      <c r="D1155" s="71" t="s">
        <v>1287</v>
      </c>
      <c r="E1155" s="71" t="s">
        <v>1260</v>
      </c>
    </row>
    <row r="1156" spans="1:5">
      <c r="A1156" s="73">
        <v>1155</v>
      </c>
      <c r="B1156" s="74" t="s">
        <v>116</v>
      </c>
      <c r="C1156" s="77">
        <v>11352262</v>
      </c>
      <c r="D1156" s="71" t="s">
        <v>1288</v>
      </c>
      <c r="E1156" s="71" t="s">
        <v>1260</v>
      </c>
    </row>
    <row r="1157" spans="1:5">
      <c r="A1157" s="73">
        <v>1156</v>
      </c>
      <c r="B1157" s="74" t="s">
        <v>116</v>
      </c>
      <c r="C1157" s="77">
        <v>11348622</v>
      </c>
      <c r="D1157" s="71" t="s">
        <v>1289</v>
      </c>
      <c r="E1157" s="71" t="s">
        <v>1260</v>
      </c>
    </row>
    <row r="1158" spans="1:5">
      <c r="A1158" s="73">
        <v>1157</v>
      </c>
      <c r="B1158" s="74" t="s">
        <v>116</v>
      </c>
      <c r="C1158" s="77">
        <v>11291686</v>
      </c>
      <c r="D1158" s="71" t="s">
        <v>1290</v>
      </c>
      <c r="E1158" s="71" t="s">
        <v>1260</v>
      </c>
    </row>
    <row r="1159" spans="1:5">
      <c r="A1159" s="73">
        <v>1158</v>
      </c>
      <c r="B1159" s="74" t="s">
        <v>116</v>
      </c>
      <c r="C1159" s="77">
        <v>11353716</v>
      </c>
      <c r="D1159" s="71" t="s">
        <v>1291</v>
      </c>
      <c r="E1159" s="71" t="s">
        <v>1260</v>
      </c>
    </row>
    <row r="1160" spans="1:5">
      <c r="A1160" s="73">
        <v>1159</v>
      </c>
      <c r="B1160" s="74" t="s">
        <v>116</v>
      </c>
      <c r="C1160" s="77">
        <v>11352089</v>
      </c>
      <c r="D1160" s="71" t="s">
        <v>1292</v>
      </c>
      <c r="E1160" s="71" t="s">
        <v>1260</v>
      </c>
    </row>
    <row r="1161" spans="1:5">
      <c r="A1161" s="73">
        <v>1160</v>
      </c>
      <c r="B1161" s="74" t="s">
        <v>116</v>
      </c>
      <c r="C1161" s="77">
        <v>11350730</v>
      </c>
      <c r="D1161" s="71" t="s">
        <v>1293</v>
      </c>
      <c r="E1161" s="71" t="s">
        <v>1260</v>
      </c>
    </row>
    <row r="1162" spans="1:5">
      <c r="A1162" s="73">
        <v>1161</v>
      </c>
      <c r="B1162" s="74" t="s">
        <v>116</v>
      </c>
      <c r="C1162" s="77">
        <v>11352873</v>
      </c>
      <c r="D1162" s="71" t="s">
        <v>1294</v>
      </c>
      <c r="E1162" s="71" t="s">
        <v>1260</v>
      </c>
    </row>
    <row r="1163" spans="1:5">
      <c r="A1163" s="73">
        <v>1162</v>
      </c>
      <c r="B1163" s="74" t="s">
        <v>116</v>
      </c>
      <c r="C1163" s="77">
        <v>11352815</v>
      </c>
      <c r="D1163" s="71" t="s">
        <v>1295</v>
      </c>
      <c r="E1163" s="71" t="s">
        <v>1260</v>
      </c>
    </row>
    <row r="1164" spans="1:5">
      <c r="A1164" s="73">
        <v>1163</v>
      </c>
      <c r="B1164" s="74" t="s">
        <v>116</v>
      </c>
      <c r="C1164" s="77">
        <v>11351034</v>
      </c>
      <c r="D1164" s="71" t="s">
        <v>1296</v>
      </c>
      <c r="E1164" s="71" t="s">
        <v>1260</v>
      </c>
    </row>
    <row r="1165" spans="1:5">
      <c r="A1165" s="73">
        <v>1164</v>
      </c>
      <c r="B1165" s="74" t="s">
        <v>116</v>
      </c>
      <c r="C1165" s="77">
        <v>11353856</v>
      </c>
      <c r="D1165" s="71" t="s">
        <v>1297</v>
      </c>
      <c r="E1165" s="71" t="s">
        <v>1260</v>
      </c>
    </row>
    <row r="1166" spans="1:5">
      <c r="A1166" s="73">
        <v>1165</v>
      </c>
      <c r="B1166" s="74" t="s">
        <v>116</v>
      </c>
      <c r="C1166" s="77">
        <v>11352269</v>
      </c>
      <c r="D1166" s="71" t="s">
        <v>1298</v>
      </c>
      <c r="E1166" s="71" t="s">
        <v>1260</v>
      </c>
    </row>
    <row r="1167" spans="1:5">
      <c r="A1167" s="73">
        <v>1166</v>
      </c>
      <c r="B1167" s="74" t="s">
        <v>116</v>
      </c>
      <c r="C1167" s="77">
        <v>11349649</v>
      </c>
      <c r="D1167" s="71" t="s">
        <v>1299</v>
      </c>
      <c r="E1167" s="71" t="s">
        <v>1260</v>
      </c>
    </row>
    <row r="1168" spans="1:5">
      <c r="A1168" s="73">
        <v>1167</v>
      </c>
      <c r="B1168" s="74" t="s">
        <v>116</v>
      </c>
      <c r="C1168" s="77">
        <v>11353174</v>
      </c>
      <c r="D1168" s="71" t="s">
        <v>1300</v>
      </c>
      <c r="E1168" s="71" t="s">
        <v>1260</v>
      </c>
    </row>
    <row r="1169" spans="1:5">
      <c r="A1169" s="73">
        <v>1168</v>
      </c>
      <c r="B1169" s="74" t="s">
        <v>116</v>
      </c>
      <c r="C1169" s="77">
        <v>11353445</v>
      </c>
      <c r="D1169" s="71" t="s">
        <v>1301</v>
      </c>
      <c r="E1169" s="71" t="s">
        <v>1260</v>
      </c>
    </row>
    <row r="1170" spans="1:5">
      <c r="A1170" s="73">
        <v>1169</v>
      </c>
      <c r="B1170" s="74" t="s">
        <v>116</v>
      </c>
      <c r="C1170" s="77">
        <v>11354382</v>
      </c>
      <c r="D1170" s="71" t="s">
        <v>1302</v>
      </c>
      <c r="E1170" s="71" t="s">
        <v>1260</v>
      </c>
    </row>
    <row r="1171" spans="1:5">
      <c r="A1171" s="73">
        <v>1170</v>
      </c>
      <c r="B1171" s="74" t="s">
        <v>116</v>
      </c>
      <c r="C1171" s="77">
        <v>11321128</v>
      </c>
      <c r="D1171" s="71" t="s">
        <v>1303</v>
      </c>
      <c r="E1171" s="71" t="s">
        <v>1260</v>
      </c>
    </row>
    <row r="1172" spans="1:5">
      <c r="A1172" s="73">
        <v>1171</v>
      </c>
      <c r="B1172" s="74" t="s">
        <v>116</v>
      </c>
      <c r="C1172" s="77">
        <v>11354528</v>
      </c>
      <c r="D1172" s="71" t="s">
        <v>1304</v>
      </c>
      <c r="E1172" s="71" t="s">
        <v>1260</v>
      </c>
    </row>
    <row r="1173" spans="1:5">
      <c r="A1173" s="73">
        <v>1172</v>
      </c>
      <c r="B1173" s="74" t="s">
        <v>116</v>
      </c>
      <c r="C1173" s="77">
        <v>11352070</v>
      </c>
      <c r="D1173" s="71" t="s">
        <v>1305</v>
      </c>
      <c r="E1173" s="71" t="s">
        <v>1260</v>
      </c>
    </row>
    <row r="1174" spans="1:5">
      <c r="A1174" s="73">
        <v>1173</v>
      </c>
      <c r="B1174" s="74" t="s">
        <v>116</v>
      </c>
      <c r="C1174" s="77">
        <v>11353217</v>
      </c>
      <c r="D1174" s="71" t="s">
        <v>1306</v>
      </c>
      <c r="E1174" s="71" t="s">
        <v>1260</v>
      </c>
    </row>
    <row r="1175" spans="1:5">
      <c r="A1175" s="73">
        <v>1174</v>
      </c>
      <c r="B1175" s="74" t="s">
        <v>116</v>
      </c>
      <c r="C1175" s="77">
        <v>11354362</v>
      </c>
      <c r="D1175" s="71" t="s">
        <v>1307</v>
      </c>
      <c r="E1175" s="71" t="s">
        <v>1260</v>
      </c>
    </row>
    <row r="1176" spans="1:5">
      <c r="A1176" s="73">
        <v>1175</v>
      </c>
      <c r="B1176" s="74" t="s">
        <v>116</v>
      </c>
      <c r="C1176" s="77">
        <v>11347785</v>
      </c>
      <c r="D1176" s="71" t="s">
        <v>1308</v>
      </c>
      <c r="E1176" s="71" t="s">
        <v>1260</v>
      </c>
    </row>
    <row r="1177" spans="1:5">
      <c r="A1177" s="73">
        <v>1176</v>
      </c>
      <c r="B1177" s="74" t="s">
        <v>116</v>
      </c>
      <c r="C1177" s="77">
        <v>11338132</v>
      </c>
      <c r="D1177" s="71" t="s">
        <v>1309</v>
      </c>
      <c r="E1177" s="71" t="s">
        <v>1260</v>
      </c>
    </row>
    <row r="1178" spans="1:5">
      <c r="A1178" s="73">
        <v>1177</v>
      </c>
      <c r="B1178" s="74" t="s">
        <v>116</v>
      </c>
      <c r="C1178" s="77">
        <v>11354740</v>
      </c>
      <c r="D1178" s="71" t="s">
        <v>1310</v>
      </c>
      <c r="E1178" s="71" t="s">
        <v>1260</v>
      </c>
    </row>
    <row r="1179" spans="1:5">
      <c r="A1179" s="73">
        <v>1178</v>
      </c>
      <c r="B1179" s="74" t="s">
        <v>116</v>
      </c>
      <c r="C1179" s="77">
        <v>11352880</v>
      </c>
      <c r="D1179" s="71" t="s">
        <v>1311</v>
      </c>
      <c r="E1179" s="71" t="s">
        <v>1260</v>
      </c>
    </row>
    <row r="1180" spans="1:5">
      <c r="A1180" s="73">
        <v>1179</v>
      </c>
      <c r="B1180" s="74" t="s">
        <v>116</v>
      </c>
      <c r="C1180" s="77">
        <v>11354354</v>
      </c>
      <c r="D1180" s="71" t="s">
        <v>1312</v>
      </c>
      <c r="E1180" s="71" t="s">
        <v>1260</v>
      </c>
    </row>
    <row r="1181" spans="1:5">
      <c r="A1181" s="73">
        <v>1180</v>
      </c>
      <c r="B1181" s="74" t="s">
        <v>116</v>
      </c>
      <c r="C1181" s="77">
        <v>11352256</v>
      </c>
      <c r="D1181" s="71" t="s">
        <v>1313</v>
      </c>
      <c r="E1181" s="71" t="s">
        <v>1260</v>
      </c>
    </row>
    <row r="1182" spans="1:5">
      <c r="A1182" s="73">
        <v>1181</v>
      </c>
      <c r="B1182" s="74" t="s">
        <v>116</v>
      </c>
      <c r="C1182" s="77">
        <v>11353766</v>
      </c>
      <c r="D1182" s="71" t="s">
        <v>1314</v>
      </c>
      <c r="E1182" s="71" t="s">
        <v>1260</v>
      </c>
    </row>
    <row r="1183" spans="1:5">
      <c r="A1183" s="73">
        <v>1182</v>
      </c>
      <c r="B1183" s="74" t="s">
        <v>116</v>
      </c>
      <c r="C1183" s="77">
        <v>11336761</v>
      </c>
      <c r="D1183" s="71" t="s">
        <v>1315</v>
      </c>
      <c r="E1183" s="71" t="s">
        <v>1260</v>
      </c>
    </row>
    <row r="1184" spans="1:5">
      <c r="A1184" s="73">
        <v>1183</v>
      </c>
      <c r="B1184" s="74" t="s">
        <v>116</v>
      </c>
      <c r="C1184" s="77">
        <v>11337064</v>
      </c>
      <c r="D1184" s="71" t="s">
        <v>1316</v>
      </c>
      <c r="E1184" s="71" t="s">
        <v>1260</v>
      </c>
    </row>
    <row r="1185" spans="1:5">
      <c r="A1185" s="73">
        <v>1184</v>
      </c>
      <c r="B1185" s="74" t="s">
        <v>116</v>
      </c>
      <c r="C1185" s="77">
        <v>11350726</v>
      </c>
      <c r="D1185" s="71" t="s">
        <v>1317</v>
      </c>
      <c r="E1185" s="71" t="s">
        <v>1260</v>
      </c>
    </row>
    <row r="1186" spans="1:5">
      <c r="A1186" s="73">
        <v>1185</v>
      </c>
      <c r="B1186" s="74" t="s">
        <v>116</v>
      </c>
      <c r="C1186" s="77">
        <v>11353696</v>
      </c>
      <c r="D1186" s="71" t="s">
        <v>1318</v>
      </c>
      <c r="E1186" s="71" t="s">
        <v>1260</v>
      </c>
    </row>
    <row r="1187" spans="1:5">
      <c r="A1187" s="73">
        <v>1186</v>
      </c>
      <c r="B1187" s="74" t="s">
        <v>116</v>
      </c>
      <c r="C1187" s="77">
        <v>11347518</v>
      </c>
      <c r="D1187" s="71" t="s">
        <v>1319</v>
      </c>
      <c r="E1187" s="71" t="s">
        <v>1320</v>
      </c>
    </row>
    <row r="1188" spans="1:5">
      <c r="A1188" s="73">
        <v>1187</v>
      </c>
      <c r="B1188" s="74" t="s">
        <v>116</v>
      </c>
      <c r="C1188" s="77">
        <v>11354133</v>
      </c>
      <c r="D1188" s="71" t="s">
        <v>1321</v>
      </c>
      <c r="E1188" s="71" t="s">
        <v>1320</v>
      </c>
    </row>
    <row r="1189" spans="1:5">
      <c r="A1189" s="73">
        <v>1188</v>
      </c>
      <c r="B1189" s="74" t="s">
        <v>116</v>
      </c>
      <c r="C1189" s="77">
        <v>11351872</v>
      </c>
      <c r="D1189" s="71" t="s">
        <v>1322</v>
      </c>
      <c r="E1189" s="71" t="s">
        <v>1320</v>
      </c>
    </row>
    <row r="1190" spans="1:5">
      <c r="A1190" s="73">
        <v>1189</v>
      </c>
      <c r="B1190" s="74" t="s">
        <v>116</v>
      </c>
      <c r="C1190" s="77">
        <v>11353597</v>
      </c>
      <c r="D1190" s="71" t="s">
        <v>1323</v>
      </c>
      <c r="E1190" s="71" t="s">
        <v>1320</v>
      </c>
    </row>
    <row r="1191" spans="1:5">
      <c r="A1191" s="73">
        <v>1190</v>
      </c>
      <c r="B1191" s="74" t="s">
        <v>116</v>
      </c>
      <c r="C1191" s="77">
        <v>11354650</v>
      </c>
      <c r="D1191" s="71" t="s">
        <v>1324</v>
      </c>
      <c r="E1191" s="71" t="s">
        <v>1320</v>
      </c>
    </row>
    <row r="1192" spans="1:5">
      <c r="A1192" s="73">
        <v>1191</v>
      </c>
      <c r="B1192" s="74" t="s">
        <v>116</v>
      </c>
      <c r="C1192" s="77">
        <v>11354109</v>
      </c>
      <c r="D1192" s="71" t="s">
        <v>1325</v>
      </c>
      <c r="E1192" s="71" t="s">
        <v>1320</v>
      </c>
    </row>
    <row r="1193" spans="1:5">
      <c r="A1193" s="73">
        <v>1192</v>
      </c>
      <c r="B1193" s="74" t="s">
        <v>116</v>
      </c>
      <c r="C1193" s="77">
        <v>11352409</v>
      </c>
      <c r="D1193" s="71" t="s">
        <v>1326</v>
      </c>
      <c r="E1193" s="71" t="s">
        <v>1320</v>
      </c>
    </row>
    <row r="1194" spans="1:5">
      <c r="A1194" s="73">
        <v>1193</v>
      </c>
      <c r="B1194" s="74" t="s">
        <v>116</v>
      </c>
      <c r="C1194" s="77">
        <v>11351650</v>
      </c>
      <c r="D1194" s="71" t="s">
        <v>1327</v>
      </c>
      <c r="E1194" s="71" t="s">
        <v>1320</v>
      </c>
    </row>
    <row r="1195" spans="1:5">
      <c r="A1195" s="73">
        <v>1194</v>
      </c>
      <c r="B1195" s="74" t="s">
        <v>116</v>
      </c>
      <c r="C1195" s="77">
        <v>11353727</v>
      </c>
      <c r="D1195" s="71" t="s">
        <v>1328</v>
      </c>
      <c r="E1195" s="71" t="s">
        <v>1320</v>
      </c>
    </row>
    <row r="1196" spans="1:5">
      <c r="A1196" s="73">
        <v>1195</v>
      </c>
      <c r="B1196" s="74" t="s">
        <v>116</v>
      </c>
      <c r="C1196" s="77">
        <v>11351371</v>
      </c>
      <c r="D1196" s="71" t="s">
        <v>1329</v>
      </c>
      <c r="E1196" s="71" t="s">
        <v>1320</v>
      </c>
    </row>
    <row r="1197" spans="1:5">
      <c r="A1197" s="73">
        <v>1196</v>
      </c>
      <c r="B1197" s="74" t="s">
        <v>116</v>
      </c>
      <c r="C1197" s="77">
        <v>11354651</v>
      </c>
      <c r="D1197" s="71" t="s">
        <v>1330</v>
      </c>
      <c r="E1197" s="71" t="s">
        <v>1320</v>
      </c>
    </row>
    <row r="1198" spans="1:5">
      <c r="A1198" s="73">
        <v>1197</v>
      </c>
      <c r="B1198" s="74" t="s">
        <v>116</v>
      </c>
      <c r="C1198" s="77">
        <v>11354484</v>
      </c>
      <c r="D1198" s="71" t="s">
        <v>1331</v>
      </c>
      <c r="E1198" s="71" t="s">
        <v>1320</v>
      </c>
    </row>
    <row r="1199" spans="1:5">
      <c r="A1199" s="73">
        <v>1198</v>
      </c>
      <c r="B1199" s="74" t="s">
        <v>116</v>
      </c>
      <c r="C1199" s="77">
        <v>11333730</v>
      </c>
      <c r="D1199" s="71" t="s">
        <v>1332</v>
      </c>
      <c r="E1199" s="71" t="s">
        <v>1320</v>
      </c>
    </row>
    <row r="1200" spans="1:5">
      <c r="A1200" s="73">
        <v>1199</v>
      </c>
      <c r="B1200" s="74" t="s">
        <v>116</v>
      </c>
      <c r="C1200" s="77">
        <v>11350836</v>
      </c>
      <c r="D1200" s="71" t="s">
        <v>1333</v>
      </c>
      <c r="E1200" s="71" t="s">
        <v>1320</v>
      </c>
    </row>
    <row r="1201" spans="1:5">
      <c r="A1201" s="73">
        <v>1200</v>
      </c>
      <c r="B1201" s="74" t="s">
        <v>116</v>
      </c>
      <c r="C1201" s="77">
        <v>11352290</v>
      </c>
      <c r="D1201" s="71" t="s">
        <v>1334</v>
      </c>
      <c r="E1201" s="71" t="s">
        <v>1320</v>
      </c>
    </row>
    <row r="1202" spans="1:5">
      <c r="A1202" s="73">
        <v>1201</v>
      </c>
      <c r="B1202" s="74" t="s">
        <v>116</v>
      </c>
      <c r="C1202" s="77">
        <v>11350570</v>
      </c>
      <c r="D1202" s="71" t="s">
        <v>1335</v>
      </c>
      <c r="E1202" s="71" t="s">
        <v>1320</v>
      </c>
    </row>
    <row r="1203" spans="1:5">
      <c r="A1203" s="73">
        <v>1202</v>
      </c>
      <c r="B1203" s="74" t="s">
        <v>116</v>
      </c>
      <c r="C1203" s="77">
        <v>11353725</v>
      </c>
      <c r="D1203" s="71" t="s">
        <v>1336</v>
      </c>
      <c r="E1203" s="71" t="s">
        <v>1320</v>
      </c>
    </row>
    <row r="1204" spans="1:5">
      <c r="A1204" s="73">
        <v>1203</v>
      </c>
      <c r="B1204" s="74" t="s">
        <v>116</v>
      </c>
      <c r="C1204" s="77">
        <v>11346641</v>
      </c>
      <c r="D1204" s="71" t="s">
        <v>1337</v>
      </c>
      <c r="E1204" s="71" t="s">
        <v>1320</v>
      </c>
    </row>
    <row r="1205" spans="1:5">
      <c r="A1205" s="73">
        <v>1204</v>
      </c>
      <c r="B1205" s="74" t="s">
        <v>116</v>
      </c>
      <c r="C1205" s="77">
        <v>11354730</v>
      </c>
      <c r="D1205" s="71" t="s">
        <v>1338</v>
      </c>
      <c r="E1205" s="71" t="s">
        <v>1320</v>
      </c>
    </row>
    <row r="1206" spans="1:5">
      <c r="A1206" s="73">
        <v>1205</v>
      </c>
      <c r="B1206" s="74" t="s">
        <v>116</v>
      </c>
      <c r="C1206" s="77">
        <v>11340635</v>
      </c>
      <c r="D1206" s="71" t="s">
        <v>1339</v>
      </c>
      <c r="E1206" s="71" t="s">
        <v>1320</v>
      </c>
    </row>
    <row r="1207" spans="1:5">
      <c r="A1207" s="73">
        <v>1206</v>
      </c>
      <c r="B1207" s="74" t="s">
        <v>116</v>
      </c>
      <c r="C1207" s="77">
        <v>11352899</v>
      </c>
      <c r="D1207" s="71" t="s">
        <v>1340</v>
      </c>
      <c r="E1207" s="71" t="s">
        <v>1320</v>
      </c>
    </row>
    <row r="1208" spans="1:5">
      <c r="A1208" s="73">
        <v>1207</v>
      </c>
      <c r="B1208" s="74" t="s">
        <v>116</v>
      </c>
      <c r="C1208" s="77">
        <v>11352852</v>
      </c>
      <c r="D1208" s="71" t="s">
        <v>1341</v>
      </c>
      <c r="E1208" s="71" t="s">
        <v>1320</v>
      </c>
    </row>
    <row r="1209" spans="1:5">
      <c r="A1209" s="73">
        <v>1208</v>
      </c>
      <c r="B1209" s="74" t="s">
        <v>116</v>
      </c>
      <c r="C1209" s="77">
        <v>11353728</v>
      </c>
      <c r="D1209" s="71" t="s">
        <v>1342</v>
      </c>
      <c r="E1209" s="71" t="s">
        <v>1320</v>
      </c>
    </row>
    <row r="1210" spans="1:5">
      <c r="A1210" s="73">
        <v>1209</v>
      </c>
      <c r="B1210" s="74" t="s">
        <v>116</v>
      </c>
      <c r="C1210" s="77">
        <v>11351283</v>
      </c>
      <c r="D1210" s="71" t="s">
        <v>1343</v>
      </c>
      <c r="E1210" s="71" t="s">
        <v>1320</v>
      </c>
    </row>
    <row r="1211" spans="1:5">
      <c r="A1211" s="73">
        <v>1210</v>
      </c>
      <c r="B1211" s="74" t="s">
        <v>116</v>
      </c>
      <c r="C1211" s="77">
        <v>11353993</v>
      </c>
      <c r="D1211" s="71" t="s">
        <v>1344</v>
      </c>
      <c r="E1211" s="71" t="s">
        <v>1320</v>
      </c>
    </row>
    <row r="1212" spans="1:5">
      <c r="A1212" s="73">
        <v>1211</v>
      </c>
      <c r="B1212" s="74" t="s">
        <v>116</v>
      </c>
      <c r="C1212" s="77">
        <v>11347498</v>
      </c>
      <c r="D1212" s="71" t="s">
        <v>1345</v>
      </c>
      <c r="E1212" s="71" t="s">
        <v>1320</v>
      </c>
    </row>
    <row r="1213" spans="1:5">
      <c r="A1213" s="73">
        <v>1212</v>
      </c>
      <c r="B1213" s="74" t="s">
        <v>116</v>
      </c>
      <c r="C1213" s="77">
        <v>11353982</v>
      </c>
      <c r="D1213" s="71" t="s">
        <v>1346</v>
      </c>
      <c r="E1213" s="71" t="s">
        <v>1320</v>
      </c>
    </row>
    <row r="1214" spans="1:5">
      <c r="A1214" s="73">
        <v>1213</v>
      </c>
      <c r="B1214" s="74" t="s">
        <v>116</v>
      </c>
      <c r="C1214" s="77">
        <v>11353862</v>
      </c>
      <c r="D1214" s="71" t="s">
        <v>1347</v>
      </c>
      <c r="E1214" s="71" t="s">
        <v>1320</v>
      </c>
    </row>
    <row r="1215" spans="1:5">
      <c r="A1215" s="73">
        <v>1214</v>
      </c>
      <c r="B1215" s="74" t="s">
        <v>116</v>
      </c>
      <c r="C1215" s="77">
        <v>11354335</v>
      </c>
      <c r="D1215" s="71" t="s">
        <v>1348</v>
      </c>
      <c r="E1215" s="71" t="s">
        <v>1320</v>
      </c>
    </row>
    <row r="1216" spans="1:5">
      <c r="A1216" s="73">
        <v>1215</v>
      </c>
      <c r="B1216" s="74" t="s">
        <v>116</v>
      </c>
      <c r="C1216" s="77">
        <v>11352135</v>
      </c>
      <c r="D1216" s="71" t="s">
        <v>1349</v>
      </c>
      <c r="E1216" s="71" t="s">
        <v>1320</v>
      </c>
    </row>
    <row r="1217" spans="1:5">
      <c r="A1217" s="73">
        <v>1216</v>
      </c>
      <c r="B1217" s="74" t="s">
        <v>116</v>
      </c>
      <c r="C1217" s="77">
        <v>11352872</v>
      </c>
      <c r="D1217" s="71" t="s">
        <v>1350</v>
      </c>
      <c r="E1217" s="71" t="s">
        <v>1320</v>
      </c>
    </row>
    <row r="1218" spans="1:5">
      <c r="A1218" s="73">
        <v>1217</v>
      </c>
      <c r="B1218" s="74" t="s">
        <v>116</v>
      </c>
      <c r="C1218" s="77">
        <v>11349653</v>
      </c>
      <c r="D1218" s="71" t="s">
        <v>1351</v>
      </c>
      <c r="E1218" s="71" t="s">
        <v>1320</v>
      </c>
    </row>
    <row r="1219" spans="1:5">
      <c r="A1219" s="73">
        <v>1218</v>
      </c>
      <c r="B1219" s="74" t="s">
        <v>116</v>
      </c>
      <c r="C1219" s="77">
        <v>11354095</v>
      </c>
      <c r="D1219" s="71" t="s">
        <v>1352</v>
      </c>
      <c r="E1219" s="71" t="s">
        <v>1320</v>
      </c>
    </row>
    <row r="1220" spans="1:5">
      <c r="A1220" s="73">
        <v>1219</v>
      </c>
      <c r="B1220" s="74" t="s">
        <v>116</v>
      </c>
      <c r="C1220" s="77">
        <v>11351647</v>
      </c>
      <c r="D1220" s="71" t="s">
        <v>1353</v>
      </c>
      <c r="E1220" s="71" t="s">
        <v>1320</v>
      </c>
    </row>
    <row r="1221" spans="1:5">
      <c r="A1221" s="73">
        <v>1220</v>
      </c>
      <c r="B1221" s="74" t="s">
        <v>116</v>
      </c>
      <c r="C1221" s="77">
        <v>11353377</v>
      </c>
      <c r="D1221" s="71" t="s">
        <v>1354</v>
      </c>
      <c r="E1221" s="71" t="s">
        <v>1320</v>
      </c>
    </row>
    <row r="1222" spans="1:5">
      <c r="A1222" s="73">
        <v>1221</v>
      </c>
      <c r="B1222" s="74" t="s">
        <v>116</v>
      </c>
      <c r="C1222" s="77">
        <v>11352554</v>
      </c>
      <c r="D1222" s="71" t="s">
        <v>1355</v>
      </c>
      <c r="E1222" s="71" t="s">
        <v>1320</v>
      </c>
    </row>
    <row r="1223" spans="1:5">
      <c r="A1223" s="73">
        <v>1222</v>
      </c>
      <c r="B1223" s="74" t="s">
        <v>116</v>
      </c>
      <c r="C1223" s="77">
        <v>11354220</v>
      </c>
      <c r="D1223" s="71" t="s">
        <v>1356</v>
      </c>
      <c r="E1223" s="71" t="s">
        <v>1320</v>
      </c>
    </row>
    <row r="1224" spans="1:5">
      <c r="A1224" s="73">
        <v>1223</v>
      </c>
      <c r="B1224" s="74" t="s">
        <v>116</v>
      </c>
      <c r="C1224" s="77">
        <v>11355951</v>
      </c>
      <c r="D1224" s="71" t="s">
        <v>1357</v>
      </c>
      <c r="E1224" s="71" t="s">
        <v>1320</v>
      </c>
    </row>
    <row r="1225" spans="1:5">
      <c r="A1225" s="73">
        <v>1224</v>
      </c>
      <c r="B1225" s="74" t="s">
        <v>116</v>
      </c>
      <c r="C1225" s="77">
        <v>11353111</v>
      </c>
      <c r="D1225" s="71" t="s">
        <v>1358</v>
      </c>
      <c r="E1225" s="71" t="s">
        <v>1320</v>
      </c>
    </row>
    <row r="1226" spans="1:5">
      <c r="A1226" s="73">
        <v>1225</v>
      </c>
      <c r="B1226" s="74" t="s">
        <v>116</v>
      </c>
      <c r="C1226" s="77">
        <v>11353447</v>
      </c>
      <c r="D1226" s="71" t="s">
        <v>1359</v>
      </c>
      <c r="E1226" s="71" t="s">
        <v>1320</v>
      </c>
    </row>
    <row r="1227" spans="1:5">
      <c r="A1227" s="73">
        <v>1226</v>
      </c>
      <c r="B1227" s="74" t="s">
        <v>116</v>
      </c>
      <c r="C1227" s="77">
        <v>11351012</v>
      </c>
      <c r="D1227" s="71" t="s">
        <v>1360</v>
      </c>
      <c r="E1227" s="71" t="s">
        <v>1320</v>
      </c>
    </row>
    <row r="1228" spans="1:5">
      <c r="A1228" s="73">
        <v>1227</v>
      </c>
      <c r="B1228" s="74" t="s">
        <v>116</v>
      </c>
      <c r="C1228" s="77">
        <v>11321933</v>
      </c>
      <c r="D1228" s="71" t="s">
        <v>1361</v>
      </c>
      <c r="E1228" s="71" t="s">
        <v>1320</v>
      </c>
    </row>
    <row r="1229" spans="1:5">
      <c r="A1229" s="73">
        <v>1228</v>
      </c>
      <c r="B1229" s="74" t="s">
        <v>116</v>
      </c>
      <c r="C1229" s="77">
        <v>11350185</v>
      </c>
      <c r="D1229" s="71" t="s">
        <v>1362</v>
      </c>
      <c r="E1229" s="71" t="s">
        <v>1320</v>
      </c>
    </row>
    <row r="1230" spans="1:5">
      <c r="A1230" s="73">
        <v>1229</v>
      </c>
      <c r="B1230" s="74" t="s">
        <v>116</v>
      </c>
      <c r="C1230" s="77">
        <v>11354490</v>
      </c>
      <c r="D1230" s="71" t="s">
        <v>1363</v>
      </c>
      <c r="E1230" s="71" t="s">
        <v>1320</v>
      </c>
    </row>
    <row r="1231" spans="1:5">
      <c r="A1231" s="73">
        <v>1230</v>
      </c>
      <c r="B1231" s="74" t="s">
        <v>116</v>
      </c>
      <c r="C1231" s="77">
        <v>11354397</v>
      </c>
      <c r="D1231" s="71" t="s">
        <v>1364</v>
      </c>
      <c r="E1231" s="71" t="s">
        <v>1320</v>
      </c>
    </row>
    <row r="1232" spans="1:5">
      <c r="A1232" s="73">
        <v>1231</v>
      </c>
      <c r="B1232" s="74" t="s">
        <v>116</v>
      </c>
      <c r="C1232" s="77">
        <v>11354353</v>
      </c>
      <c r="D1232" s="71" t="s">
        <v>1365</v>
      </c>
      <c r="E1232" s="71" t="s">
        <v>1320</v>
      </c>
    </row>
    <row r="1233" spans="1:5">
      <c r="A1233" s="73">
        <v>1232</v>
      </c>
      <c r="B1233" s="74" t="s">
        <v>116</v>
      </c>
      <c r="C1233" s="77">
        <v>11353994</v>
      </c>
      <c r="D1233" s="71" t="s">
        <v>1366</v>
      </c>
      <c r="E1233" s="71" t="s">
        <v>1320</v>
      </c>
    </row>
    <row r="1234" spans="1:5">
      <c r="A1234" s="73">
        <v>1233</v>
      </c>
      <c r="B1234" s="74" t="s">
        <v>116</v>
      </c>
      <c r="C1234" s="77">
        <v>11353705</v>
      </c>
      <c r="D1234" s="71" t="s">
        <v>1367</v>
      </c>
      <c r="E1234" s="71" t="s">
        <v>1320</v>
      </c>
    </row>
    <row r="1235" spans="1:5">
      <c r="A1235" s="73">
        <v>1234</v>
      </c>
      <c r="B1235" s="74" t="s">
        <v>116</v>
      </c>
      <c r="C1235" s="77">
        <v>11352251</v>
      </c>
      <c r="D1235" s="71" t="s">
        <v>1368</v>
      </c>
      <c r="E1235" s="71" t="s">
        <v>1320</v>
      </c>
    </row>
    <row r="1236" spans="1:5">
      <c r="A1236" s="73">
        <v>1235</v>
      </c>
      <c r="B1236" s="74" t="s">
        <v>116</v>
      </c>
      <c r="C1236" s="77">
        <v>11354495</v>
      </c>
      <c r="D1236" s="71" t="s">
        <v>1369</v>
      </c>
      <c r="E1236" s="71" t="s">
        <v>1320</v>
      </c>
    </row>
    <row r="1237" spans="1:5">
      <c r="A1237" s="73">
        <v>1236</v>
      </c>
      <c r="B1237" s="74" t="s">
        <v>116</v>
      </c>
      <c r="C1237" s="77">
        <v>11338335</v>
      </c>
      <c r="D1237" s="71" t="s">
        <v>1370</v>
      </c>
      <c r="E1237" s="71" t="s">
        <v>1371</v>
      </c>
    </row>
    <row r="1238" spans="1:5">
      <c r="A1238" s="73">
        <v>1237</v>
      </c>
      <c r="B1238" s="74" t="s">
        <v>116</v>
      </c>
      <c r="C1238" s="77">
        <v>11331894</v>
      </c>
      <c r="D1238" s="71" t="s">
        <v>1372</v>
      </c>
      <c r="E1238" s="71" t="s">
        <v>1371</v>
      </c>
    </row>
    <row r="1239" spans="1:5">
      <c r="A1239" s="73">
        <v>1238</v>
      </c>
      <c r="B1239" s="74" t="s">
        <v>116</v>
      </c>
      <c r="C1239" s="77">
        <v>11351693</v>
      </c>
      <c r="D1239" s="71" t="s">
        <v>1373</v>
      </c>
      <c r="E1239" s="71" t="s">
        <v>1371</v>
      </c>
    </row>
    <row r="1240" spans="1:5">
      <c r="A1240" s="73">
        <v>1239</v>
      </c>
      <c r="B1240" s="74" t="s">
        <v>116</v>
      </c>
      <c r="C1240" s="77">
        <v>11334397</v>
      </c>
      <c r="D1240" s="71" t="s">
        <v>1374</v>
      </c>
      <c r="E1240" s="71" t="s">
        <v>1371</v>
      </c>
    </row>
    <row r="1241" spans="1:5">
      <c r="A1241" s="73">
        <v>1240</v>
      </c>
      <c r="B1241" s="74" t="s">
        <v>116</v>
      </c>
      <c r="C1241" s="77">
        <v>11354648</v>
      </c>
      <c r="D1241" s="71" t="s">
        <v>1375</v>
      </c>
      <c r="E1241" s="71" t="s">
        <v>1371</v>
      </c>
    </row>
    <row r="1242" spans="1:5">
      <c r="A1242" s="73">
        <v>1241</v>
      </c>
      <c r="B1242" s="74" t="s">
        <v>116</v>
      </c>
      <c r="C1242" s="77">
        <v>11332485</v>
      </c>
      <c r="D1242" s="71" t="s">
        <v>1376</v>
      </c>
      <c r="E1242" s="71" t="s">
        <v>1371</v>
      </c>
    </row>
    <row r="1243" spans="1:5">
      <c r="A1243" s="73">
        <v>1242</v>
      </c>
      <c r="B1243" s="74" t="s">
        <v>116</v>
      </c>
      <c r="C1243" s="77">
        <v>11335817</v>
      </c>
      <c r="D1243" s="71" t="s">
        <v>1377</v>
      </c>
      <c r="E1243" s="71" t="s">
        <v>1371</v>
      </c>
    </row>
    <row r="1244" spans="1:5">
      <c r="A1244" s="73">
        <v>1243</v>
      </c>
      <c r="B1244" s="74" t="s">
        <v>116</v>
      </c>
      <c r="C1244" s="77">
        <v>11352266</v>
      </c>
      <c r="D1244" s="71" t="s">
        <v>1378</v>
      </c>
      <c r="E1244" s="71" t="s">
        <v>1371</v>
      </c>
    </row>
    <row r="1245" spans="1:5">
      <c r="A1245" s="73">
        <v>1244</v>
      </c>
      <c r="B1245" s="74" t="s">
        <v>116</v>
      </c>
      <c r="C1245" s="77">
        <v>11320171</v>
      </c>
      <c r="D1245" s="71" t="s">
        <v>1379</v>
      </c>
      <c r="E1245" s="71" t="s">
        <v>1371</v>
      </c>
    </row>
    <row r="1246" spans="1:5">
      <c r="A1246" s="73">
        <v>1245</v>
      </c>
      <c r="B1246" s="74" t="s">
        <v>116</v>
      </c>
      <c r="C1246" s="77">
        <v>11334872</v>
      </c>
      <c r="D1246" s="71" t="s">
        <v>1380</v>
      </c>
      <c r="E1246" s="71" t="s">
        <v>1371</v>
      </c>
    </row>
    <row r="1247" spans="1:5">
      <c r="A1247" s="73">
        <v>1246</v>
      </c>
      <c r="B1247" s="74" t="s">
        <v>116</v>
      </c>
      <c r="C1247" s="77">
        <v>11353602</v>
      </c>
      <c r="D1247" s="71" t="s">
        <v>1381</v>
      </c>
      <c r="E1247" s="71" t="s">
        <v>1371</v>
      </c>
    </row>
    <row r="1248" spans="1:5">
      <c r="A1248" s="73">
        <v>1247</v>
      </c>
      <c r="B1248" s="74" t="s">
        <v>116</v>
      </c>
      <c r="C1248" s="77">
        <v>11352555</v>
      </c>
      <c r="D1248" s="71" t="s">
        <v>1382</v>
      </c>
      <c r="E1248" s="71" t="s">
        <v>1371</v>
      </c>
    </row>
    <row r="1249" spans="1:5">
      <c r="A1249" s="73">
        <v>1248</v>
      </c>
      <c r="B1249" s="74" t="s">
        <v>116</v>
      </c>
      <c r="C1249" s="77">
        <v>11335733</v>
      </c>
      <c r="D1249" s="71" t="s">
        <v>1383</v>
      </c>
      <c r="E1249" s="71" t="s">
        <v>1371</v>
      </c>
    </row>
    <row r="1250" spans="1:5">
      <c r="A1250" s="73">
        <v>1249</v>
      </c>
      <c r="B1250" s="74" t="s">
        <v>116</v>
      </c>
      <c r="C1250" s="77">
        <v>11353807</v>
      </c>
      <c r="D1250" s="71" t="s">
        <v>1384</v>
      </c>
      <c r="E1250" s="71" t="s">
        <v>1371</v>
      </c>
    </row>
    <row r="1251" spans="1:5">
      <c r="A1251" s="73">
        <v>1250</v>
      </c>
      <c r="B1251" s="74" t="s">
        <v>116</v>
      </c>
      <c r="C1251" s="77">
        <v>11335556</v>
      </c>
      <c r="D1251" s="71" t="s">
        <v>1385</v>
      </c>
      <c r="E1251" s="71" t="s">
        <v>1371</v>
      </c>
    </row>
    <row r="1252" spans="1:5">
      <c r="A1252" s="73">
        <v>1251</v>
      </c>
      <c r="B1252" s="74" t="s">
        <v>116</v>
      </c>
      <c r="C1252" s="77">
        <v>11343205</v>
      </c>
      <c r="D1252" s="71" t="s">
        <v>1386</v>
      </c>
      <c r="E1252" s="71" t="s">
        <v>1371</v>
      </c>
    </row>
    <row r="1253" spans="1:5">
      <c r="A1253" s="73">
        <v>1252</v>
      </c>
      <c r="B1253" s="74" t="s">
        <v>116</v>
      </c>
      <c r="C1253" s="77">
        <v>11339008</v>
      </c>
      <c r="D1253" s="71" t="s">
        <v>1387</v>
      </c>
      <c r="E1253" s="71" t="s">
        <v>1371</v>
      </c>
    </row>
    <row r="1254" spans="1:5">
      <c r="A1254" s="73">
        <v>1253</v>
      </c>
      <c r="B1254" s="74" t="s">
        <v>116</v>
      </c>
      <c r="C1254" s="77">
        <v>11353883</v>
      </c>
      <c r="D1254" s="71" t="s">
        <v>1388</v>
      </c>
      <c r="E1254" s="71" t="s">
        <v>1371</v>
      </c>
    </row>
    <row r="1255" spans="1:5">
      <c r="A1255" s="73">
        <v>1254</v>
      </c>
      <c r="B1255" s="74" t="s">
        <v>116</v>
      </c>
      <c r="C1255" s="77">
        <v>11337082</v>
      </c>
      <c r="D1255" s="71" t="s">
        <v>1389</v>
      </c>
      <c r="E1255" s="71" t="s">
        <v>1371</v>
      </c>
    </row>
    <row r="1256" spans="1:5">
      <c r="A1256" s="73">
        <v>1255</v>
      </c>
      <c r="B1256" s="74" t="s">
        <v>116</v>
      </c>
      <c r="C1256" s="77">
        <v>11333979</v>
      </c>
      <c r="D1256" s="71" t="s">
        <v>1390</v>
      </c>
      <c r="E1256" s="71" t="s">
        <v>1371</v>
      </c>
    </row>
    <row r="1257" spans="1:5">
      <c r="A1257" s="73">
        <v>1256</v>
      </c>
      <c r="B1257" s="74" t="s">
        <v>116</v>
      </c>
      <c r="C1257" s="77">
        <v>11354831</v>
      </c>
      <c r="D1257" s="71" t="s">
        <v>1391</v>
      </c>
      <c r="E1257" s="71" t="s">
        <v>1371</v>
      </c>
    </row>
    <row r="1258" spans="1:5">
      <c r="A1258" s="73">
        <v>1257</v>
      </c>
      <c r="B1258" s="74" t="s">
        <v>116</v>
      </c>
      <c r="C1258" s="77">
        <v>11354517</v>
      </c>
      <c r="D1258" s="71" t="s">
        <v>1392</v>
      </c>
      <c r="E1258" s="71" t="s">
        <v>1371</v>
      </c>
    </row>
    <row r="1259" spans="1:5">
      <c r="A1259" s="73">
        <v>1258</v>
      </c>
      <c r="B1259" s="74" t="s">
        <v>116</v>
      </c>
      <c r="C1259" s="77">
        <v>11353822</v>
      </c>
      <c r="D1259" s="71" t="s">
        <v>1393</v>
      </c>
      <c r="E1259" s="71" t="s">
        <v>1371</v>
      </c>
    </row>
    <row r="1260" spans="1:5">
      <c r="A1260" s="73">
        <v>1259</v>
      </c>
      <c r="B1260" s="74" t="s">
        <v>116</v>
      </c>
      <c r="C1260" s="77">
        <v>11351268</v>
      </c>
      <c r="D1260" s="71" t="s">
        <v>1394</v>
      </c>
      <c r="E1260" s="71" t="s">
        <v>1371</v>
      </c>
    </row>
    <row r="1261" spans="1:5">
      <c r="A1261" s="73">
        <v>1260</v>
      </c>
      <c r="B1261" s="74" t="s">
        <v>116</v>
      </c>
      <c r="C1261" s="77">
        <v>11317951</v>
      </c>
      <c r="D1261" s="71" t="s">
        <v>1395</v>
      </c>
      <c r="E1261" s="71" t="s">
        <v>1371</v>
      </c>
    </row>
    <row r="1262" spans="1:5">
      <c r="A1262" s="73">
        <v>1261</v>
      </c>
      <c r="B1262" s="74" t="s">
        <v>116</v>
      </c>
      <c r="C1262" s="77">
        <v>11353718</v>
      </c>
      <c r="D1262" s="71" t="s">
        <v>1396</v>
      </c>
      <c r="E1262" s="71" t="s">
        <v>1371</v>
      </c>
    </row>
    <row r="1263" spans="1:5">
      <c r="A1263" s="73">
        <v>1262</v>
      </c>
      <c r="B1263" s="74" t="s">
        <v>116</v>
      </c>
      <c r="C1263" s="77">
        <v>11333413</v>
      </c>
      <c r="D1263" s="71" t="s">
        <v>1397</v>
      </c>
      <c r="E1263" s="71" t="s">
        <v>1371</v>
      </c>
    </row>
    <row r="1264" spans="1:5">
      <c r="A1264" s="73">
        <v>1263</v>
      </c>
      <c r="B1264" s="74" t="s">
        <v>116</v>
      </c>
      <c r="C1264" s="77">
        <v>11354380</v>
      </c>
      <c r="D1264" s="71" t="s">
        <v>1398</v>
      </c>
      <c r="E1264" s="71" t="s">
        <v>1371</v>
      </c>
    </row>
    <row r="1265" spans="1:5">
      <c r="A1265" s="73">
        <v>1264</v>
      </c>
      <c r="B1265" s="74" t="s">
        <v>116</v>
      </c>
      <c r="C1265" s="77">
        <v>11335358</v>
      </c>
      <c r="D1265" s="71" t="s">
        <v>1399</v>
      </c>
      <c r="E1265" s="71" t="s">
        <v>1371</v>
      </c>
    </row>
    <row r="1266" spans="1:5">
      <c r="A1266" s="73">
        <v>1265</v>
      </c>
      <c r="B1266" s="74" t="s">
        <v>116</v>
      </c>
      <c r="C1266" s="77">
        <v>11336573</v>
      </c>
      <c r="D1266" s="71" t="s">
        <v>1400</v>
      </c>
      <c r="E1266" s="71" t="s">
        <v>1371</v>
      </c>
    </row>
    <row r="1267" spans="1:5">
      <c r="A1267" s="73">
        <v>1266</v>
      </c>
      <c r="B1267" s="74" t="s">
        <v>116</v>
      </c>
      <c r="C1267" s="77">
        <v>11354851</v>
      </c>
      <c r="D1267" s="71" t="s">
        <v>1401</v>
      </c>
      <c r="E1267" s="71" t="s">
        <v>1371</v>
      </c>
    </row>
    <row r="1268" spans="1:5">
      <c r="A1268" s="73">
        <v>1267</v>
      </c>
      <c r="B1268" s="74" t="s">
        <v>116</v>
      </c>
      <c r="C1268" s="77">
        <v>11354393</v>
      </c>
      <c r="D1268" s="71" t="s">
        <v>1402</v>
      </c>
      <c r="E1268" s="71" t="s">
        <v>1371</v>
      </c>
    </row>
    <row r="1269" spans="1:5">
      <c r="A1269" s="73">
        <v>1268</v>
      </c>
      <c r="B1269" s="74" t="s">
        <v>116</v>
      </c>
    </row>
    <row r="1270" spans="1:5">
      <c r="A1270" s="73">
        <v>1269</v>
      </c>
      <c r="B1270" s="74" t="s">
        <v>116</v>
      </c>
    </row>
    <row r="1271" spans="1:5">
      <c r="A1271" s="73">
        <v>1270</v>
      </c>
      <c r="B1271" s="74" t="s">
        <v>116</v>
      </c>
    </row>
    <row r="1272" spans="1:5">
      <c r="A1272" s="73">
        <v>1271</v>
      </c>
      <c r="B1272" s="74" t="s">
        <v>116</v>
      </c>
    </row>
    <row r="1273" spans="1:5">
      <c r="A1273" s="73">
        <v>1272</v>
      </c>
      <c r="B1273" s="74" t="s">
        <v>116</v>
      </c>
    </row>
    <row r="1274" spans="1:5">
      <c r="A1274" s="73">
        <v>1273</v>
      </c>
      <c r="B1274" s="74" t="s">
        <v>116</v>
      </c>
    </row>
    <row r="1275" spans="1:5">
      <c r="A1275" s="73">
        <v>1274</v>
      </c>
      <c r="B1275" s="74" t="s">
        <v>116</v>
      </c>
    </row>
    <row r="1276" spans="1:5">
      <c r="A1276" s="73">
        <v>1275</v>
      </c>
      <c r="B1276" s="74" t="s">
        <v>116</v>
      </c>
    </row>
    <row r="1277" spans="1:5">
      <c r="A1277" s="73">
        <v>1276</v>
      </c>
      <c r="B1277" s="74" t="s">
        <v>116</v>
      </c>
    </row>
    <row r="1278" spans="1:5">
      <c r="A1278" s="73">
        <v>1277</v>
      </c>
      <c r="B1278" s="74" t="s">
        <v>116</v>
      </c>
    </row>
    <row r="1279" spans="1:5">
      <c r="A1279" s="73">
        <v>1278</v>
      </c>
      <c r="B1279" s="74" t="s">
        <v>116</v>
      </c>
    </row>
    <row r="1280" spans="1:5">
      <c r="A1280" s="73">
        <v>1279</v>
      </c>
      <c r="B1280" s="74" t="s">
        <v>116</v>
      </c>
    </row>
    <row r="1281" spans="1:2">
      <c r="A1281" s="73">
        <v>1280</v>
      </c>
      <c r="B1281" s="74" t="s">
        <v>116</v>
      </c>
    </row>
    <row r="1282" spans="1:2">
      <c r="A1282" s="73">
        <v>1281</v>
      </c>
      <c r="B1282" s="74" t="s">
        <v>116</v>
      </c>
    </row>
    <row r="1283" spans="1:2">
      <c r="A1283" s="73">
        <v>1282</v>
      </c>
      <c r="B1283" s="74" t="s">
        <v>116</v>
      </c>
    </row>
    <row r="1284" spans="1:2">
      <c r="A1284" s="73">
        <v>1283</v>
      </c>
      <c r="B1284" s="74" t="s">
        <v>116</v>
      </c>
    </row>
    <row r="1285" spans="1:2">
      <c r="A1285" s="73">
        <v>1284</v>
      </c>
      <c r="B1285" s="74" t="s">
        <v>116</v>
      </c>
    </row>
    <row r="1286" spans="1:2">
      <c r="A1286" s="73">
        <v>1285</v>
      </c>
      <c r="B1286" s="74" t="s">
        <v>116</v>
      </c>
    </row>
    <row r="1287" spans="1:2">
      <c r="A1287" s="73">
        <v>1286</v>
      </c>
      <c r="B1287" s="74" t="s">
        <v>116</v>
      </c>
    </row>
    <row r="1288" spans="1:2">
      <c r="A1288" s="73">
        <v>1287</v>
      </c>
      <c r="B1288" s="74" t="s">
        <v>116</v>
      </c>
    </row>
    <row r="1289" spans="1:2">
      <c r="A1289" s="73">
        <v>1288</v>
      </c>
      <c r="B1289" s="74" t="s">
        <v>116</v>
      </c>
    </row>
    <row r="1290" spans="1:2">
      <c r="A1290" s="73">
        <v>1289</v>
      </c>
      <c r="B1290" s="74" t="s">
        <v>116</v>
      </c>
    </row>
    <row r="1291" spans="1:2">
      <c r="A1291" s="73">
        <v>1290</v>
      </c>
      <c r="B1291" s="74" t="s">
        <v>116</v>
      </c>
    </row>
    <row r="1292" spans="1:2">
      <c r="A1292" s="73">
        <v>1291</v>
      </c>
      <c r="B1292" s="74" t="s">
        <v>116</v>
      </c>
    </row>
    <row r="1293" spans="1:2">
      <c r="A1293" s="73">
        <v>1292</v>
      </c>
      <c r="B1293" s="74" t="s">
        <v>116</v>
      </c>
    </row>
    <row r="1294" spans="1:2">
      <c r="A1294" s="73">
        <v>1293</v>
      </c>
      <c r="B1294" s="74" t="s">
        <v>116</v>
      </c>
    </row>
    <row r="1295" spans="1:2">
      <c r="A1295" s="73">
        <v>1294</v>
      </c>
      <c r="B1295" s="74" t="s">
        <v>116</v>
      </c>
    </row>
    <row r="1296" spans="1:2">
      <c r="A1296" s="73">
        <v>1295</v>
      </c>
      <c r="B1296" s="74" t="s">
        <v>116</v>
      </c>
    </row>
    <row r="1297" spans="1:2">
      <c r="A1297" s="73">
        <v>1296</v>
      </c>
      <c r="B1297" s="74" t="s">
        <v>116</v>
      </c>
    </row>
    <row r="1298" spans="1:2">
      <c r="A1298" s="73">
        <v>1297</v>
      </c>
      <c r="B1298" s="74" t="s">
        <v>116</v>
      </c>
    </row>
    <row r="1299" spans="1:2">
      <c r="A1299" s="73">
        <v>1298</v>
      </c>
      <c r="B1299" s="74" t="s">
        <v>116</v>
      </c>
    </row>
    <row r="1300" spans="1:2">
      <c r="A1300" s="73">
        <v>1299</v>
      </c>
      <c r="B1300" s="74" t="s">
        <v>116</v>
      </c>
    </row>
    <row r="1301" spans="1:2">
      <c r="A1301" s="73">
        <v>1300</v>
      </c>
      <c r="B1301" s="74" t="s">
        <v>116</v>
      </c>
    </row>
    <row r="1302" spans="1:2">
      <c r="A1302" s="73">
        <v>1301</v>
      </c>
      <c r="B1302" s="74" t="s">
        <v>116</v>
      </c>
    </row>
    <row r="1303" spans="1:2">
      <c r="A1303" s="73">
        <v>1302</v>
      </c>
      <c r="B1303" s="74" t="s">
        <v>116</v>
      </c>
    </row>
    <row r="1304" spans="1:2">
      <c r="A1304" s="73">
        <v>1303</v>
      </c>
      <c r="B1304" s="74" t="s">
        <v>116</v>
      </c>
    </row>
    <row r="1305" spans="1:2">
      <c r="A1305" s="73">
        <v>1304</v>
      </c>
      <c r="B1305" s="74" t="s">
        <v>116</v>
      </c>
    </row>
    <row r="1306" spans="1:2">
      <c r="A1306" s="73">
        <v>1305</v>
      </c>
      <c r="B1306" s="74" t="s">
        <v>116</v>
      </c>
    </row>
    <row r="1307" spans="1:2">
      <c r="A1307" s="73">
        <v>1306</v>
      </c>
      <c r="B1307" s="74" t="s">
        <v>116</v>
      </c>
    </row>
    <row r="1308" spans="1:2">
      <c r="A1308" s="73">
        <v>1307</v>
      </c>
      <c r="B1308" s="74" t="s">
        <v>116</v>
      </c>
    </row>
    <row r="1309" spans="1:2">
      <c r="A1309" s="73">
        <v>1308</v>
      </c>
      <c r="B1309" s="74" t="s">
        <v>116</v>
      </c>
    </row>
    <row r="1310" spans="1:2">
      <c r="A1310" s="73">
        <v>1309</v>
      </c>
      <c r="B1310" s="74" t="s">
        <v>116</v>
      </c>
    </row>
    <row r="1311" spans="1:2">
      <c r="A1311" s="73">
        <v>1310</v>
      </c>
      <c r="B1311" s="74" t="s">
        <v>116</v>
      </c>
    </row>
    <row r="1312" spans="1:2">
      <c r="A1312" s="73">
        <v>1311</v>
      </c>
      <c r="B1312" s="74" t="s">
        <v>116</v>
      </c>
    </row>
    <row r="1313" spans="1:2">
      <c r="A1313" s="73">
        <v>1312</v>
      </c>
      <c r="B1313" s="74" t="s">
        <v>116</v>
      </c>
    </row>
    <row r="1314" spans="1:2">
      <c r="A1314" s="73">
        <v>1313</v>
      </c>
      <c r="B1314" s="74" t="s">
        <v>116</v>
      </c>
    </row>
    <row r="1315" spans="1:2">
      <c r="A1315" s="73">
        <v>1314</v>
      </c>
      <c r="B1315" s="74" t="s">
        <v>116</v>
      </c>
    </row>
    <row r="1316" spans="1:2">
      <c r="A1316" s="73">
        <v>1315</v>
      </c>
      <c r="B1316" s="74" t="s">
        <v>116</v>
      </c>
    </row>
    <row r="1317" spans="1:2">
      <c r="A1317" s="73">
        <v>1316</v>
      </c>
      <c r="B1317" s="74" t="s">
        <v>116</v>
      </c>
    </row>
    <row r="1318" spans="1:2">
      <c r="A1318" s="73">
        <v>1317</v>
      </c>
      <c r="B1318" s="74" t="s">
        <v>116</v>
      </c>
    </row>
    <row r="1319" spans="1:2">
      <c r="A1319" s="73">
        <v>1318</v>
      </c>
      <c r="B1319" s="74" t="s">
        <v>116</v>
      </c>
    </row>
    <row r="1320" spans="1:2">
      <c r="A1320" s="73">
        <v>1319</v>
      </c>
      <c r="B1320" s="74" t="s">
        <v>116</v>
      </c>
    </row>
    <row r="1321" spans="1:2">
      <c r="A1321" s="73">
        <v>1320</v>
      </c>
      <c r="B1321" s="74" t="s">
        <v>116</v>
      </c>
    </row>
    <row r="1322" spans="1:2">
      <c r="A1322" s="73">
        <v>1321</v>
      </c>
      <c r="B1322" s="74" t="s">
        <v>116</v>
      </c>
    </row>
    <row r="1323" spans="1:2">
      <c r="A1323" s="73">
        <v>1322</v>
      </c>
      <c r="B1323" s="74" t="s">
        <v>116</v>
      </c>
    </row>
    <row r="1324" spans="1:2">
      <c r="A1324" s="73">
        <v>1323</v>
      </c>
      <c r="B1324" s="74" t="s">
        <v>116</v>
      </c>
    </row>
    <row r="1325" spans="1:2">
      <c r="A1325" s="73">
        <v>1324</v>
      </c>
      <c r="B1325" s="74" t="s">
        <v>116</v>
      </c>
    </row>
    <row r="1326" spans="1:2">
      <c r="A1326" s="73">
        <v>1325</v>
      </c>
      <c r="B1326" s="74" t="s">
        <v>116</v>
      </c>
    </row>
    <row r="1327" spans="1:2">
      <c r="A1327" s="73">
        <v>1326</v>
      </c>
      <c r="B1327" s="74" t="s">
        <v>116</v>
      </c>
    </row>
    <row r="1328" spans="1:2">
      <c r="A1328" s="73">
        <v>1327</v>
      </c>
      <c r="B1328" s="74" t="s">
        <v>116</v>
      </c>
    </row>
    <row r="1329" spans="1:2">
      <c r="A1329" s="73">
        <v>1328</v>
      </c>
      <c r="B1329" s="74" t="s">
        <v>116</v>
      </c>
    </row>
    <row r="1330" spans="1:2">
      <c r="A1330" s="73">
        <v>1329</v>
      </c>
      <c r="B1330" s="74" t="s">
        <v>116</v>
      </c>
    </row>
    <row r="1331" spans="1:2">
      <c r="A1331" s="73">
        <v>1330</v>
      </c>
      <c r="B1331" s="74" t="s">
        <v>116</v>
      </c>
    </row>
    <row r="1332" spans="1:2">
      <c r="A1332" s="73">
        <v>1331</v>
      </c>
      <c r="B1332" s="74" t="s">
        <v>116</v>
      </c>
    </row>
    <row r="1333" spans="1:2">
      <c r="A1333" s="73">
        <v>1332</v>
      </c>
      <c r="B1333" s="74" t="s">
        <v>116</v>
      </c>
    </row>
    <row r="1334" spans="1:2">
      <c r="A1334" s="73">
        <v>1333</v>
      </c>
      <c r="B1334" s="74" t="s">
        <v>116</v>
      </c>
    </row>
    <row r="1335" spans="1:2">
      <c r="A1335" s="73">
        <v>1334</v>
      </c>
      <c r="B1335" s="74" t="s">
        <v>116</v>
      </c>
    </row>
    <row r="1336" spans="1:2">
      <c r="A1336" s="73">
        <v>1335</v>
      </c>
      <c r="B1336" s="74" t="s">
        <v>116</v>
      </c>
    </row>
    <row r="1337" spans="1:2">
      <c r="A1337" s="73">
        <v>1336</v>
      </c>
      <c r="B1337" s="74" t="s">
        <v>116</v>
      </c>
    </row>
    <row r="1338" spans="1:2">
      <c r="A1338" s="73">
        <v>1337</v>
      </c>
      <c r="B1338" s="74" t="s">
        <v>116</v>
      </c>
    </row>
    <row r="1339" spans="1:2">
      <c r="A1339" s="73">
        <v>1338</v>
      </c>
      <c r="B1339" s="74" t="s">
        <v>116</v>
      </c>
    </row>
    <row r="1340" spans="1:2">
      <c r="A1340" s="73">
        <v>1339</v>
      </c>
      <c r="B1340" s="74" t="s">
        <v>116</v>
      </c>
    </row>
    <row r="1341" spans="1:2">
      <c r="A1341" s="73">
        <v>1340</v>
      </c>
      <c r="B1341" s="74" t="s">
        <v>116</v>
      </c>
    </row>
    <row r="1342" spans="1:2">
      <c r="A1342" s="73">
        <v>1341</v>
      </c>
      <c r="B1342" s="74" t="s">
        <v>116</v>
      </c>
    </row>
    <row r="1343" spans="1:2">
      <c r="A1343" s="73">
        <v>1342</v>
      </c>
      <c r="B1343" s="74" t="s">
        <v>116</v>
      </c>
    </row>
    <row r="1344" spans="1:2">
      <c r="A1344" s="73">
        <v>1343</v>
      </c>
      <c r="B1344" s="74" t="s">
        <v>116</v>
      </c>
    </row>
    <row r="1345" spans="1:2">
      <c r="A1345" s="73">
        <v>1344</v>
      </c>
      <c r="B1345" s="74" t="s">
        <v>116</v>
      </c>
    </row>
    <row r="1346" spans="1:2">
      <c r="A1346" s="73">
        <v>1345</v>
      </c>
      <c r="B1346" s="74" t="s">
        <v>116</v>
      </c>
    </row>
    <row r="1347" spans="1:2">
      <c r="A1347" s="73">
        <v>1346</v>
      </c>
      <c r="B1347" s="74" t="s">
        <v>116</v>
      </c>
    </row>
    <row r="1348" spans="1:2">
      <c r="A1348" s="73">
        <v>1347</v>
      </c>
      <c r="B1348" s="74" t="s">
        <v>116</v>
      </c>
    </row>
    <row r="1349" spans="1:2">
      <c r="A1349" s="73">
        <v>1348</v>
      </c>
      <c r="B1349" s="74" t="s">
        <v>116</v>
      </c>
    </row>
    <row r="1350" spans="1:2">
      <c r="A1350" s="73">
        <v>1349</v>
      </c>
      <c r="B1350" s="74" t="s">
        <v>116</v>
      </c>
    </row>
    <row r="1351" spans="1:2">
      <c r="A1351" s="73">
        <v>1350</v>
      </c>
      <c r="B1351" s="74" t="s">
        <v>116</v>
      </c>
    </row>
    <row r="1352" spans="1:2">
      <c r="A1352" s="73">
        <v>1351</v>
      </c>
      <c r="B1352" s="74" t="s">
        <v>116</v>
      </c>
    </row>
    <row r="1353" spans="1:2">
      <c r="A1353" s="73">
        <v>1352</v>
      </c>
      <c r="B1353" s="74" t="s">
        <v>116</v>
      </c>
    </row>
    <row r="1354" spans="1:2">
      <c r="A1354" s="73">
        <v>1353</v>
      </c>
      <c r="B1354" s="74" t="s">
        <v>116</v>
      </c>
    </row>
    <row r="1355" spans="1:2">
      <c r="A1355" s="73">
        <v>1354</v>
      </c>
      <c r="B1355" s="74" t="s">
        <v>116</v>
      </c>
    </row>
    <row r="1356" spans="1:2">
      <c r="A1356" s="73">
        <v>1355</v>
      </c>
      <c r="B1356" s="74" t="s">
        <v>116</v>
      </c>
    </row>
    <row r="1357" spans="1:2">
      <c r="A1357" s="73">
        <v>1356</v>
      </c>
      <c r="B1357" s="74" t="s">
        <v>116</v>
      </c>
    </row>
    <row r="1358" spans="1:2">
      <c r="A1358" s="73">
        <v>1357</v>
      </c>
      <c r="B1358" s="74" t="s">
        <v>116</v>
      </c>
    </row>
    <row r="1359" spans="1:2">
      <c r="A1359" s="73">
        <v>1358</v>
      </c>
      <c r="B1359" s="74" t="s">
        <v>116</v>
      </c>
    </row>
    <row r="1360" spans="1:2">
      <c r="A1360" s="73">
        <v>1359</v>
      </c>
      <c r="B1360" s="74" t="s">
        <v>116</v>
      </c>
    </row>
    <row r="1361" spans="1:2">
      <c r="A1361" s="73">
        <v>1360</v>
      </c>
      <c r="B1361" s="74" t="s">
        <v>116</v>
      </c>
    </row>
    <row r="1362" spans="1:2">
      <c r="A1362" s="73">
        <v>1361</v>
      </c>
      <c r="B1362" s="74" t="s">
        <v>116</v>
      </c>
    </row>
    <row r="1363" spans="1:2">
      <c r="A1363" s="73">
        <v>1362</v>
      </c>
      <c r="B1363" s="74" t="s">
        <v>116</v>
      </c>
    </row>
    <row r="1364" spans="1:2">
      <c r="A1364" s="73">
        <v>1363</v>
      </c>
      <c r="B1364" s="74" t="s">
        <v>116</v>
      </c>
    </row>
    <row r="1365" spans="1:2">
      <c r="A1365" s="73">
        <v>1364</v>
      </c>
      <c r="B1365" s="74" t="s">
        <v>116</v>
      </c>
    </row>
    <row r="1366" spans="1:2">
      <c r="A1366" s="73">
        <v>1365</v>
      </c>
      <c r="B1366" s="74" t="s">
        <v>116</v>
      </c>
    </row>
    <row r="1367" spans="1:2">
      <c r="A1367" s="73">
        <v>1366</v>
      </c>
      <c r="B1367" s="74" t="s">
        <v>116</v>
      </c>
    </row>
    <row r="1368" spans="1:2">
      <c r="A1368" s="73">
        <v>1367</v>
      </c>
      <c r="B1368" s="74" t="s">
        <v>116</v>
      </c>
    </row>
    <row r="1369" spans="1:2">
      <c r="A1369" s="73">
        <v>1368</v>
      </c>
      <c r="B1369" s="74" t="s">
        <v>116</v>
      </c>
    </row>
    <row r="1370" spans="1:2">
      <c r="A1370" s="73">
        <v>1369</v>
      </c>
      <c r="B1370" s="74" t="s">
        <v>116</v>
      </c>
    </row>
    <row r="1371" spans="1:2">
      <c r="A1371" s="73">
        <v>1370</v>
      </c>
      <c r="B1371" s="74" t="s">
        <v>116</v>
      </c>
    </row>
    <row r="1372" spans="1:2">
      <c r="A1372" s="73">
        <v>1371</v>
      </c>
      <c r="B1372" s="74" t="s">
        <v>116</v>
      </c>
    </row>
    <row r="1373" spans="1:2">
      <c r="A1373" s="73">
        <v>1372</v>
      </c>
      <c r="B1373" s="74" t="s">
        <v>116</v>
      </c>
    </row>
    <row r="1374" spans="1:2">
      <c r="A1374" s="73">
        <v>1373</v>
      </c>
      <c r="B1374" s="74" t="s">
        <v>116</v>
      </c>
    </row>
    <row r="1375" spans="1:2">
      <c r="A1375" s="73">
        <v>1374</v>
      </c>
      <c r="B1375" s="74" t="s">
        <v>116</v>
      </c>
    </row>
    <row r="1376" spans="1:2">
      <c r="A1376" s="73">
        <v>1375</v>
      </c>
      <c r="B1376" s="74" t="s">
        <v>116</v>
      </c>
    </row>
    <row r="1377" spans="1:2">
      <c r="A1377" s="73">
        <v>1376</v>
      </c>
      <c r="B1377" s="74" t="s">
        <v>116</v>
      </c>
    </row>
    <row r="1378" spans="1:2">
      <c r="A1378" s="73">
        <v>1377</v>
      </c>
      <c r="B1378" s="74" t="s">
        <v>116</v>
      </c>
    </row>
    <row r="1379" spans="1:2">
      <c r="A1379" s="73">
        <v>1378</v>
      </c>
      <c r="B1379" s="74" t="s">
        <v>116</v>
      </c>
    </row>
    <row r="1380" spans="1:2">
      <c r="A1380" s="73">
        <v>1379</v>
      </c>
      <c r="B1380" s="74" t="s">
        <v>116</v>
      </c>
    </row>
    <row r="1381" spans="1:2">
      <c r="A1381" s="73">
        <v>1380</v>
      </c>
      <c r="B1381" s="74" t="s">
        <v>116</v>
      </c>
    </row>
    <row r="1382" spans="1:2">
      <c r="A1382" s="73">
        <v>1381</v>
      </c>
      <c r="B1382" s="74" t="s">
        <v>116</v>
      </c>
    </row>
    <row r="1383" spans="1:2">
      <c r="A1383" s="73">
        <v>1382</v>
      </c>
      <c r="B1383" s="74" t="s">
        <v>116</v>
      </c>
    </row>
    <row r="1384" spans="1:2">
      <c r="A1384" s="73">
        <v>1383</v>
      </c>
      <c r="B1384" s="74" t="s">
        <v>116</v>
      </c>
    </row>
    <row r="1385" spans="1:2">
      <c r="A1385" s="73">
        <v>1384</v>
      </c>
      <c r="B1385" s="74" t="s">
        <v>116</v>
      </c>
    </row>
    <row r="1386" spans="1:2">
      <c r="A1386" s="73">
        <v>1385</v>
      </c>
      <c r="B1386" s="74" t="s">
        <v>116</v>
      </c>
    </row>
    <row r="1387" spans="1:2">
      <c r="A1387" s="73">
        <v>1386</v>
      </c>
      <c r="B1387" s="74" t="s">
        <v>116</v>
      </c>
    </row>
    <row r="1388" spans="1:2">
      <c r="A1388" s="73">
        <v>1387</v>
      </c>
      <c r="B1388" s="74" t="s">
        <v>116</v>
      </c>
    </row>
    <row r="1389" spans="1:2">
      <c r="A1389" s="73">
        <v>1388</v>
      </c>
      <c r="B1389" s="74" t="s">
        <v>116</v>
      </c>
    </row>
    <row r="1390" spans="1:2">
      <c r="A1390" s="73">
        <v>1389</v>
      </c>
      <c r="B1390" s="74" t="s">
        <v>116</v>
      </c>
    </row>
    <row r="1391" spans="1:2">
      <c r="A1391" s="73">
        <v>1390</v>
      </c>
      <c r="B1391" s="74" t="s">
        <v>116</v>
      </c>
    </row>
    <row r="1392" spans="1:2">
      <c r="A1392" s="73">
        <v>1391</v>
      </c>
      <c r="B1392" s="74" t="s">
        <v>116</v>
      </c>
    </row>
    <row r="1393" spans="1:2">
      <c r="A1393" s="73">
        <v>1392</v>
      </c>
      <c r="B1393" s="74" t="s">
        <v>116</v>
      </c>
    </row>
    <row r="1394" spans="1:2">
      <c r="A1394" s="73">
        <v>1393</v>
      </c>
      <c r="B1394" s="74" t="s">
        <v>116</v>
      </c>
    </row>
    <row r="1395" spans="1:2">
      <c r="A1395" s="73">
        <v>1394</v>
      </c>
      <c r="B1395" s="74" t="s">
        <v>116</v>
      </c>
    </row>
    <row r="1396" spans="1:2">
      <c r="A1396" s="73">
        <v>1395</v>
      </c>
      <c r="B1396" s="74" t="s">
        <v>116</v>
      </c>
    </row>
    <row r="1397" spans="1:2">
      <c r="A1397" s="73">
        <v>1396</v>
      </c>
      <c r="B1397" s="74" t="s">
        <v>116</v>
      </c>
    </row>
    <row r="1398" spans="1:2">
      <c r="A1398" s="73">
        <v>1397</v>
      </c>
      <c r="B1398" s="74" t="s">
        <v>116</v>
      </c>
    </row>
    <row r="1399" spans="1:2">
      <c r="A1399" s="73">
        <v>1398</v>
      </c>
      <c r="B1399" s="74" t="s">
        <v>116</v>
      </c>
    </row>
    <row r="1400" spans="1:2">
      <c r="A1400" s="73">
        <v>1399</v>
      </c>
      <c r="B1400" s="74" t="s">
        <v>116</v>
      </c>
    </row>
    <row r="1401" spans="1:2">
      <c r="A1401" s="73">
        <v>1400</v>
      </c>
      <c r="B1401" s="74" t="s">
        <v>116</v>
      </c>
    </row>
    <row r="1402" spans="1:2">
      <c r="A1402" s="73">
        <v>1401</v>
      </c>
      <c r="B1402" s="74" t="s">
        <v>116</v>
      </c>
    </row>
    <row r="1403" spans="1:2">
      <c r="A1403" s="73">
        <v>1402</v>
      </c>
      <c r="B1403" s="74" t="s">
        <v>116</v>
      </c>
    </row>
    <row r="1404" spans="1:2">
      <c r="A1404" s="73">
        <v>1403</v>
      </c>
      <c r="B1404" s="74" t="s">
        <v>116</v>
      </c>
    </row>
    <row r="1405" spans="1:2">
      <c r="A1405" s="73">
        <v>1404</v>
      </c>
      <c r="B1405" s="74" t="s">
        <v>116</v>
      </c>
    </row>
    <row r="1406" spans="1:2">
      <c r="A1406" s="73">
        <v>1405</v>
      </c>
      <c r="B1406" s="74" t="s">
        <v>116</v>
      </c>
    </row>
    <row r="1407" spans="1:2">
      <c r="A1407" s="73">
        <v>1406</v>
      </c>
      <c r="B1407" s="74" t="s">
        <v>116</v>
      </c>
    </row>
    <row r="1408" spans="1:2">
      <c r="A1408" s="73">
        <v>1407</v>
      </c>
      <c r="B1408" s="74" t="s">
        <v>116</v>
      </c>
    </row>
    <row r="1409" spans="1:2">
      <c r="A1409" s="73">
        <v>1408</v>
      </c>
      <c r="B1409" s="74" t="s">
        <v>116</v>
      </c>
    </row>
    <row r="1410" spans="1:2">
      <c r="A1410" s="73">
        <v>1409</v>
      </c>
      <c r="B1410" s="74" t="s">
        <v>116</v>
      </c>
    </row>
    <row r="1411" spans="1:2">
      <c r="A1411" s="73">
        <v>1410</v>
      </c>
      <c r="B1411" s="74" t="s">
        <v>116</v>
      </c>
    </row>
    <row r="1412" spans="1:2">
      <c r="A1412" s="73">
        <v>1411</v>
      </c>
      <c r="B1412" s="74" t="s">
        <v>116</v>
      </c>
    </row>
    <row r="1413" spans="1:2">
      <c r="A1413" s="73">
        <v>1412</v>
      </c>
      <c r="B1413" s="74" t="s">
        <v>116</v>
      </c>
    </row>
    <row r="1414" spans="1:2">
      <c r="A1414" s="73">
        <v>1413</v>
      </c>
      <c r="B1414" s="74" t="s">
        <v>116</v>
      </c>
    </row>
    <row r="1415" spans="1:2">
      <c r="A1415" s="73">
        <v>1414</v>
      </c>
      <c r="B1415" s="74" t="s">
        <v>116</v>
      </c>
    </row>
    <row r="1416" spans="1:2">
      <c r="A1416" s="73">
        <v>1415</v>
      </c>
      <c r="B1416" s="74" t="s">
        <v>116</v>
      </c>
    </row>
    <row r="1417" spans="1:2">
      <c r="A1417" s="73">
        <v>1416</v>
      </c>
      <c r="B1417" s="74" t="s">
        <v>116</v>
      </c>
    </row>
    <row r="1418" spans="1:2">
      <c r="A1418" s="73">
        <v>1417</v>
      </c>
      <c r="B1418" s="74" t="s">
        <v>116</v>
      </c>
    </row>
    <row r="1419" spans="1:2">
      <c r="A1419" s="73">
        <v>1418</v>
      </c>
      <c r="B1419" s="74" t="s">
        <v>116</v>
      </c>
    </row>
    <row r="1420" spans="1:2">
      <c r="A1420" s="73">
        <v>1419</v>
      </c>
      <c r="B1420" s="74" t="s">
        <v>116</v>
      </c>
    </row>
    <row r="1421" spans="1:2">
      <c r="A1421" s="73">
        <v>1420</v>
      </c>
      <c r="B1421" s="74" t="s">
        <v>116</v>
      </c>
    </row>
    <row r="1422" spans="1:2">
      <c r="A1422" s="73">
        <v>1421</v>
      </c>
      <c r="B1422" s="74" t="s">
        <v>116</v>
      </c>
    </row>
    <row r="1423" spans="1:2">
      <c r="A1423" s="73">
        <v>1422</v>
      </c>
      <c r="B1423" s="74" t="s">
        <v>116</v>
      </c>
    </row>
    <row r="1424" spans="1:2">
      <c r="A1424" s="73">
        <v>1423</v>
      </c>
      <c r="B1424" s="74" t="s">
        <v>116</v>
      </c>
    </row>
    <row r="1425" spans="1:2">
      <c r="A1425" s="73">
        <v>1424</v>
      </c>
      <c r="B1425" s="74" t="s">
        <v>116</v>
      </c>
    </row>
    <row r="1426" spans="1:2">
      <c r="A1426" s="73">
        <v>1425</v>
      </c>
      <c r="B1426" s="74" t="s">
        <v>116</v>
      </c>
    </row>
    <row r="1427" spans="1:2">
      <c r="A1427" s="73">
        <v>1426</v>
      </c>
      <c r="B1427" s="74" t="s">
        <v>116</v>
      </c>
    </row>
    <row r="1428" spans="1:2">
      <c r="A1428" s="73">
        <v>1427</v>
      </c>
      <c r="B1428" s="74" t="s">
        <v>116</v>
      </c>
    </row>
    <row r="1429" spans="1:2">
      <c r="A1429" s="73">
        <v>1428</v>
      </c>
      <c r="B1429" s="74" t="s">
        <v>116</v>
      </c>
    </row>
    <row r="1430" spans="1:2">
      <c r="A1430" s="73">
        <v>1429</v>
      </c>
      <c r="B1430" s="74" t="s">
        <v>116</v>
      </c>
    </row>
    <row r="1431" spans="1:2">
      <c r="A1431" s="73">
        <v>1430</v>
      </c>
      <c r="B1431" s="74" t="s">
        <v>116</v>
      </c>
    </row>
    <row r="1432" spans="1:2">
      <c r="A1432" s="73">
        <v>1431</v>
      </c>
      <c r="B1432" s="74" t="s">
        <v>116</v>
      </c>
    </row>
    <row r="1433" spans="1:2">
      <c r="A1433" s="73">
        <v>1432</v>
      </c>
      <c r="B1433" s="74" t="s">
        <v>116</v>
      </c>
    </row>
    <row r="1434" spans="1:2">
      <c r="A1434" s="73">
        <v>1433</v>
      </c>
      <c r="B1434" s="74" t="s">
        <v>116</v>
      </c>
    </row>
    <row r="1435" spans="1:2">
      <c r="A1435" s="73">
        <v>1434</v>
      </c>
      <c r="B1435" s="74" t="s">
        <v>116</v>
      </c>
    </row>
    <row r="1436" spans="1:2">
      <c r="A1436" s="73">
        <v>1435</v>
      </c>
      <c r="B1436" s="74" t="s">
        <v>116</v>
      </c>
    </row>
    <row r="1437" spans="1:2">
      <c r="A1437" s="73">
        <v>1436</v>
      </c>
      <c r="B1437" s="74" t="s">
        <v>116</v>
      </c>
    </row>
    <row r="1438" spans="1:2">
      <c r="A1438" s="73">
        <v>1437</v>
      </c>
      <c r="B1438" s="74" t="s">
        <v>116</v>
      </c>
    </row>
    <row r="1439" spans="1:2">
      <c r="A1439" s="73">
        <v>1438</v>
      </c>
      <c r="B1439" s="74" t="s">
        <v>116</v>
      </c>
    </row>
    <row r="1440" spans="1:2">
      <c r="A1440" s="73">
        <v>1439</v>
      </c>
      <c r="B1440" s="74" t="s">
        <v>116</v>
      </c>
    </row>
    <row r="1441" spans="1:2">
      <c r="A1441" s="73">
        <v>1440</v>
      </c>
      <c r="B1441" s="74" t="s">
        <v>116</v>
      </c>
    </row>
    <row r="1442" spans="1:2">
      <c r="A1442" s="73">
        <v>1441</v>
      </c>
      <c r="B1442" s="74" t="s">
        <v>116</v>
      </c>
    </row>
    <row r="1443" spans="1:2">
      <c r="A1443" s="73">
        <v>1442</v>
      </c>
      <c r="B1443" s="74" t="s">
        <v>116</v>
      </c>
    </row>
    <row r="1444" spans="1:2">
      <c r="A1444" s="73">
        <v>1443</v>
      </c>
      <c r="B1444" s="74" t="s">
        <v>116</v>
      </c>
    </row>
    <row r="1445" spans="1:2">
      <c r="A1445" s="73">
        <v>1444</v>
      </c>
      <c r="B1445" s="74" t="s">
        <v>116</v>
      </c>
    </row>
    <row r="1446" spans="1:2">
      <c r="A1446" s="73">
        <v>1445</v>
      </c>
      <c r="B1446" s="74" t="s">
        <v>116</v>
      </c>
    </row>
    <row r="1447" spans="1:2">
      <c r="A1447" s="73">
        <v>1446</v>
      </c>
      <c r="B1447" s="74" t="s">
        <v>116</v>
      </c>
    </row>
    <row r="1448" spans="1:2">
      <c r="A1448" s="73">
        <v>1447</v>
      </c>
      <c r="B1448" s="74" t="s">
        <v>116</v>
      </c>
    </row>
    <row r="1449" spans="1:2">
      <c r="A1449" s="73">
        <v>1448</v>
      </c>
      <c r="B1449" s="74" t="s">
        <v>116</v>
      </c>
    </row>
    <row r="1450" spans="1:2">
      <c r="A1450" s="73">
        <v>1449</v>
      </c>
      <c r="B1450" s="74" t="s">
        <v>116</v>
      </c>
    </row>
    <row r="1451" spans="1:2">
      <c r="A1451" s="73">
        <v>1450</v>
      </c>
      <c r="B1451" s="74" t="s">
        <v>116</v>
      </c>
    </row>
    <row r="1452" spans="1:2">
      <c r="A1452" s="73">
        <v>1451</v>
      </c>
      <c r="B1452" s="74" t="s">
        <v>116</v>
      </c>
    </row>
    <row r="1453" spans="1:2">
      <c r="A1453" s="73">
        <v>1452</v>
      </c>
      <c r="B1453" s="74" t="s">
        <v>116</v>
      </c>
    </row>
    <row r="1454" spans="1:2">
      <c r="A1454" s="73">
        <v>1453</v>
      </c>
      <c r="B1454" s="74" t="s">
        <v>116</v>
      </c>
    </row>
    <row r="1455" spans="1:2">
      <c r="A1455" s="73">
        <v>1454</v>
      </c>
      <c r="B1455" s="74" t="s">
        <v>116</v>
      </c>
    </row>
    <row r="1456" spans="1:2">
      <c r="A1456" s="73">
        <v>1455</v>
      </c>
      <c r="B1456" s="74" t="s">
        <v>116</v>
      </c>
    </row>
    <row r="1457" spans="1:2">
      <c r="A1457" s="73">
        <v>1456</v>
      </c>
      <c r="B1457" s="74" t="s">
        <v>116</v>
      </c>
    </row>
    <row r="1458" spans="1:2">
      <c r="A1458" s="73">
        <v>1457</v>
      </c>
      <c r="B1458" s="74" t="s">
        <v>116</v>
      </c>
    </row>
    <row r="1459" spans="1:2">
      <c r="A1459" s="73">
        <v>1458</v>
      </c>
      <c r="B1459" s="74" t="s">
        <v>116</v>
      </c>
    </row>
    <row r="1460" spans="1:2">
      <c r="A1460" s="73">
        <v>1459</v>
      </c>
      <c r="B1460" s="74" t="s">
        <v>116</v>
      </c>
    </row>
    <row r="1461" spans="1:2">
      <c r="A1461" s="73">
        <v>1460</v>
      </c>
      <c r="B1461" s="74" t="s">
        <v>116</v>
      </c>
    </row>
    <row r="1462" spans="1:2">
      <c r="A1462" s="73">
        <v>1461</v>
      </c>
      <c r="B1462" s="74" t="s">
        <v>116</v>
      </c>
    </row>
    <row r="1463" spans="1:2">
      <c r="A1463" s="73">
        <v>1462</v>
      </c>
      <c r="B1463" s="74" t="s">
        <v>116</v>
      </c>
    </row>
    <row r="1464" spans="1:2">
      <c r="A1464" s="73">
        <v>1463</v>
      </c>
      <c r="B1464" s="74" t="s">
        <v>116</v>
      </c>
    </row>
    <row r="1465" spans="1:2">
      <c r="A1465" s="73">
        <v>1464</v>
      </c>
      <c r="B1465" s="74" t="s">
        <v>116</v>
      </c>
    </row>
    <row r="1466" spans="1:2">
      <c r="A1466" s="73">
        <v>1465</v>
      </c>
      <c r="B1466" s="74" t="s">
        <v>116</v>
      </c>
    </row>
    <row r="1467" spans="1:2">
      <c r="A1467" s="73">
        <v>1466</v>
      </c>
      <c r="B1467" s="74" t="s">
        <v>116</v>
      </c>
    </row>
    <row r="1468" spans="1:2">
      <c r="A1468" s="73">
        <v>1467</v>
      </c>
      <c r="B1468" s="74" t="s">
        <v>116</v>
      </c>
    </row>
    <row r="1469" spans="1:2">
      <c r="A1469" s="73">
        <v>1468</v>
      </c>
      <c r="B1469" s="74" t="s">
        <v>116</v>
      </c>
    </row>
    <row r="1470" spans="1:2">
      <c r="A1470" s="73">
        <v>1469</v>
      </c>
      <c r="B1470" s="74" t="s">
        <v>116</v>
      </c>
    </row>
    <row r="1471" spans="1:2">
      <c r="A1471" s="73">
        <v>1470</v>
      </c>
      <c r="B1471" s="74" t="s">
        <v>116</v>
      </c>
    </row>
    <row r="1472" spans="1:2">
      <c r="A1472" s="73">
        <v>1471</v>
      </c>
      <c r="B1472" s="74" t="s">
        <v>116</v>
      </c>
    </row>
    <row r="1473" spans="1:2">
      <c r="A1473" s="73">
        <v>1472</v>
      </c>
      <c r="B1473" s="74" t="s">
        <v>116</v>
      </c>
    </row>
    <row r="1474" spans="1:2">
      <c r="A1474" s="73">
        <v>1473</v>
      </c>
      <c r="B1474" s="74" t="s">
        <v>116</v>
      </c>
    </row>
    <row r="1475" spans="1:2">
      <c r="A1475" s="73">
        <v>1474</v>
      </c>
      <c r="B1475" s="74" t="s">
        <v>116</v>
      </c>
    </row>
    <row r="1476" spans="1:2">
      <c r="A1476" s="73">
        <v>1475</v>
      </c>
      <c r="B1476" s="74" t="s">
        <v>116</v>
      </c>
    </row>
    <row r="1477" spans="1:2">
      <c r="A1477" s="73">
        <v>1476</v>
      </c>
      <c r="B1477" s="74" t="s">
        <v>116</v>
      </c>
    </row>
    <row r="1478" spans="1:2">
      <c r="A1478" s="73">
        <v>1477</v>
      </c>
      <c r="B1478" s="74" t="s">
        <v>116</v>
      </c>
    </row>
    <row r="1479" spans="1:2">
      <c r="A1479" s="73">
        <v>1478</v>
      </c>
      <c r="B1479" s="74" t="s">
        <v>116</v>
      </c>
    </row>
    <row r="1480" spans="1:2">
      <c r="A1480" s="73">
        <v>1479</v>
      </c>
      <c r="B1480" s="74" t="s">
        <v>116</v>
      </c>
    </row>
    <row r="1481" spans="1:2">
      <c r="A1481" s="73">
        <v>1480</v>
      </c>
      <c r="B1481" s="74" t="s">
        <v>116</v>
      </c>
    </row>
    <row r="1482" spans="1:2">
      <c r="A1482" s="73">
        <v>1481</v>
      </c>
      <c r="B1482" s="74" t="s">
        <v>116</v>
      </c>
    </row>
    <row r="1483" spans="1:2">
      <c r="A1483" s="73">
        <v>1482</v>
      </c>
      <c r="B1483" s="74" t="s">
        <v>116</v>
      </c>
    </row>
    <row r="1484" spans="1:2">
      <c r="A1484" s="73">
        <v>1483</v>
      </c>
      <c r="B1484" s="74" t="s">
        <v>116</v>
      </c>
    </row>
    <row r="1485" spans="1:2">
      <c r="A1485" s="73">
        <v>1484</v>
      </c>
      <c r="B1485" s="74" t="s">
        <v>116</v>
      </c>
    </row>
    <row r="1486" spans="1:2">
      <c r="A1486" s="73">
        <v>1485</v>
      </c>
      <c r="B1486" s="74" t="s">
        <v>116</v>
      </c>
    </row>
    <row r="1487" spans="1:2">
      <c r="A1487" s="73">
        <v>1486</v>
      </c>
      <c r="B1487" s="74" t="s">
        <v>116</v>
      </c>
    </row>
    <row r="1488" spans="1:2">
      <c r="A1488" s="73">
        <v>1487</v>
      </c>
      <c r="B1488" s="74" t="s">
        <v>116</v>
      </c>
    </row>
    <row r="1489" spans="1:2">
      <c r="A1489" s="73">
        <v>1488</v>
      </c>
      <c r="B1489" s="74" t="s">
        <v>116</v>
      </c>
    </row>
    <row r="1490" spans="1:2">
      <c r="A1490" s="73">
        <v>1489</v>
      </c>
      <c r="B1490" s="74" t="s">
        <v>116</v>
      </c>
    </row>
    <row r="1491" spans="1:2">
      <c r="A1491" s="73">
        <v>1490</v>
      </c>
      <c r="B1491" s="74" t="s">
        <v>116</v>
      </c>
    </row>
    <row r="1492" spans="1:2">
      <c r="A1492" s="73">
        <v>1491</v>
      </c>
      <c r="B1492" s="74" t="s">
        <v>116</v>
      </c>
    </row>
    <row r="1493" spans="1:2">
      <c r="A1493" s="73">
        <v>1492</v>
      </c>
      <c r="B1493" s="74" t="s">
        <v>116</v>
      </c>
    </row>
    <row r="1494" spans="1:2">
      <c r="A1494" s="73">
        <v>1493</v>
      </c>
      <c r="B1494" s="74" t="s">
        <v>116</v>
      </c>
    </row>
    <row r="1495" spans="1:2">
      <c r="A1495" s="73">
        <v>1494</v>
      </c>
      <c r="B1495" s="74" t="s">
        <v>116</v>
      </c>
    </row>
    <row r="1496" spans="1:2">
      <c r="A1496" s="73">
        <v>1495</v>
      </c>
      <c r="B1496" s="74" t="s">
        <v>116</v>
      </c>
    </row>
    <row r="1497" spans="1:2">
      <c r="A1497" s="73">
        <v>1496</v>
      </c>
      <c r="B1497" s="74" t="s">
        <v>116</v>
      </c>
    </row>
    <row r="1498" spans="1:2">
      <c r="A1498" s="73">
        <v>1497</v>
      </c>
      <c r="B1498" s="74" t="s">
        <v>116</v>
      </c>
    </row>
    <row r="1499" spans="1:2">
      <c r="A1499" s="73">
        <v>1498</v>
      </c>
      <c r="B1499" s="74" t="s">
        <v>116</v>
      </c>
    </row>
    <row r="1500" spans="1:2">
      <c r="A1500" s="73">
        <v>1499</v>
      </c>
      <c r="B1500" s="74" t="s">
        <v>116</v>
      </c>
    </row>
    <row r="1501" spans="1:2">
      <c r="A1501" s="73">
        <v>1500</v>
      </c>
      <c r="B1501" s="74" t="s">
        <v>116</v>
      </c>
    </row>
    <row r="1502" spans="1:2">
      <c r="A1502" s="73">
        <v>1501</v>
      </c>
    </row>
    <row r="1503" spans="1:2">
      <c r="A1503" s="73">
        <v>1502</v>
      </c>
    </row>
    <row r="1504" spans="1:2">
      <c r="A1504" s="73">
        <v>1503</v>
      </c>
    </row>
    <row r="1505" spans="1:1">
      <c r="A1505" s="73">
        <v>1504</v>
      </c>
    </row>
    <row r="1506" spans="1:1">
      <c r="A1506" s="73">
        <v>1505</v>
      </c>
    </row>
    <row r="1507" spans="1:1">
      <c r="A1507" s="73">
        <v>1506</v>
      </c>
    </row>
    <row r="1508" spans="1:1">
      <c r="A1508" s="73">
        <v>1507</v>
      </c>
    </row>
    <row r="1509" spans="1:1">
      <c r="A1509" s="73">
        <v>1508</v>
      </c>
    </row>
    <row r="1510" spans="1:1">
      <c r="A1510" s="73">
        <v>1509</v>
      </c>
    </row>
    <row r="1511" spans="1:1">
      <c r="A1511" s="73">
        <v>1510</v>
      </c>
    </row>
    <row r="1512" spans="1:1">
      <c r="A1512" s="73">
        <v>1511</v>
      </c>
    </row>
    <row r="1513" spans="1:1">
      <c r="A1513" s="73">
        <v>1512</v>
      </c>
    </row>
    <row r="1514" spans="1:1">
      <c r="A1514" s="73">
        <v>1513</v>
      </c>
    </row>
    <row r="1515" spans="1:1">
      <c r="A1515" s="73">
        <v>1514</v>
      </c>
    </row>
    <row r="1516" spans="1:1">
      <c r="A1516" s="73">
        <v>1515</v>
      </c>
    </row>
    <row r="1517" spans="1:1">
      <c r="A1517" s="73">
        <v>1516</v>
      </c>
    </row>
    <row r="1518" spans="1:1">
      <c r="A1518" s="73">
        <v>1517</v>
      </c>
    </row>
    <row r="1519" spans="1:1">
      <c r="A1519" s="73">
        <v>1518</v>
      </c>
    </row>
    <row r="1520" spans="1:1">
      <c r="A1520" s="73">
        <v>1519</v>
      </c>
    </row>
    <row r="1521" spans="1:1">
      <c r="A1521" s="73">
        <v>1520</v>
      </c>
    </row>
    <row r="1522" spans="1:1">
      <c r="A1522" s="73">
        <v>1521</v>
      </c>
    </row>
    <row r="1523" spans="1:1">
      <c r="A1523" s="73">
        <v>1522</v>
      </c>
    </row>
    <row r="1524" spans="1:1">
      <c r="A1524" s="73">
        <v>1523</v>
      </c>
    </row>
    <row r="1525" spans="1:1">
      <c r="A1525" s="73">
        <v>1524</v>
      </c>
    </row>
    <row r="1526" spans="1:1">
      <c r="A1526" s="73">
        <v>1525</v>
      </c>
    </row>
    <row r="1527" spans="1:1">
      <c r="A1527" s="73">
        <v>1526</v>
      </c>
    </row>
    <row r="1528" spans="1:1">
      <c r="A1528" s="73">
        <v>1527</v>
      </c>
    </row>
    <row r="1529" spans="1:1">
      <c r="A1529" s="73">
        <v>1528</v>
      </c>
    </row>
    <row r="1530" spans="1:1">
      <c r="A1530" s="73">
        <v>1529</v>
      </c>
    </row>
    <row r="1531" spans="1:1">
      <c r="A1531" s="73">
        <v>1530</v>
      </c>
    </row>
    <row r="1532" spans="1:1">
      <c r="A1532" s="73">
        <v>1531</v>
      </c>
    </row>
    <row r="1533" spans="1:1">
      <c r="A1533" s="73">
        <v>1532</v>
      </c>
    </row>
    <row r="1534" spans="1:1">
      <c r="A1534" s="73">
        <v>1533</v>
      </c>
    </row>
    <row r="1535" spans="1:1">
      <c r="A1535" s="73">
        <v>1534</v>
      </c>
    </row>
    <row r="1536" spans="1:1">
      <c r="A1536" s="73">
        <v>1535</v>
      </c>
    </row>
    <row r="1537" spans="1:1">
      <c r="A1537" s="73">
        <v>1536</v>
      </c>
    </row>
    <row r="1538" spans="1:1">
      <c r="A1538" s="73">
        <v>1537</v>
      </c>
    </row>
    <row r="1539" spans="1:1">
      <c r="A1539" s="73">
        <v>1538</v>
      </c>
    </row>
    <row r="1540" spans="1:1">
      <c r="A1540" s="73">
        <v>1539</v>
      </c>
    </row>
    <row r="1541" spans="1:1">
      <c r="A1541" s="73">
        <v>1540</v>
      </c>
    </row>
    <row r="1542" spans="1:1">
      <c r="A1542" s="73">
        <v>1541</v>
      </c>
    </row>
    <row r="1543" spans="1:1">
      <c r="A1543" s="73">
        <v>1542</v>
      </c>
    </row>
    <row r="1544" spans="1:1">
      <c r="A1544" s="73">
        <v>1543</v>
      </c>
    </row>
    <row r="1545" spans="1:1">
      <c r="A1545" s="73">
        <v>1544</v>
      </c>
    </row>
    <row r="1546" spans="1:1">
      <c r="A1546" s="73">
        <v>1545</v>
      </c>
    </row>
    <row r="1547" spans="1:1">
      <c r="A1547" s="73">
        <v>1546</v>
      </c>
    </row>
    <row r="1548" spans="1:1">
      <c r="A1548" s="73">
        <v>1547</v>
      </c>
    </row>
    <row r="1549" spans="1:1">
      <c r="A1549" s="73">
        <v>1548</v>
      </c>
    </row>
    <row r="1550" spans="1:1">
      <c r="A1550" s="73">
        <v>1549</v>
      </c>
    </row>
    <row r="1551" spans="1:1">
      <c r="A1551" s="73">
        <v>1550</v>
      </c>
    </row>
    <row r="1552" spans="1:1">
      <c r="A1552" s="73">
        <v>1551</v>
      </c>
    </row>
    <row r="1553" spans="1:1">
      <c r="A1553" s="73">
        <v>1552</v>
      </c>
    </row>
    <row r="1554" spans="1:1">
      <c r="A1554" s="73">
        <v>1553</v>
      </c>
    </row>
    <row r="1555" spans="1:1">
      <c r="A1555" s="73">
        <v>1554</v>
      </c>
    </row>
    <row r="1556" spans="1:1">
      <c r="A1556" s="73">
        <v>1555</v>
      </c>
    </row>
    <row r="1557" spans="1:1">
      <c r="A1557" s="73">
        <v>1556</v>
      </c>
    </row>
    <row r="1558" spans="1:1">
      <c r="A1558" s="73">
        <v>1557</v>
      </c>
    </row>
    <row r="1559" spans="1:1">
      <c r="A1559" s="73">
        <v>1558</v>
      </c>
    </row>
    <row r="1560" spans="1:1">
      <c r="A1560" s="73">
        <v>1559</v>
      </c>
    </row>
    <row r="1561" spans="1:1">
      <c r="A1561" s="73">
        <v>1560</v>
      </c>
    </row>
    <row r="1562" spans="1:1">
      <c r="A1562" s="73">
        <v>1561</v>
      </c>
    </row>
    <row r="1563" spans="1:1">
      <c r="A1563" s="73">
        <v>1562</v>
      </c>
    </row>
    <row r="1564" spans="1:1">
      <c r="A1564" s="73">
        <v>1563</v>
      </c>
    </row>
    <row r="1565" spans="1:1">
      <c r="A1565" s="73">
        <v>1564</v>
      </c>
    </row>
    <row r="1566" spans="1:1">
      <c r="A1566" s="73">
        <v>1565</v>
      </c>
    </row>
    <row r="1567" spans="1:1">
      <c r="A1567" s="73">
        <v>1566</v>
      </c>
    </row>
    <row r="1568" spans="1:1">
      <c r="A1568" s="73">
        <v>1567</v>
      </c>
    </row>
    <row r="1569" spans="1:1">
      <c r="A1569" s="73">
        <v>1568</v>
      </c>
    </row>
    <row r="1570" spans="1:1">
      <c r="A1570" s="73">
        <v>1569</v>
      </c>
    </row>
    <row r="1571" spans="1:1">
      <c r="A1571" s="73">
        <v>1570</v>
      </c>
    </row>
    <row r="1572" spans="1:1">
      <c r="A1572" s="73">
        <v>1571</v>
      </c>
    </row>
    <row r="1573" spans="1:1">
      <c r="A1573" s="73">
        <v>1572</v>
      </c>
    </row>
    <row r="1574" spans="1:1">
      <c r="A1574" s="73">
        <v>1573</v>
      </c>
    </row>
    <row r="1575" spans="1:1">
      <c r="A1575" s="73">
        <v>1574</v>
      </c>
    </row>
    <row r="1576" spans="1:1">
      <c r="A1576" s="73">
        <v>1575</v>
      </c>
    </row>
    <row r="1577" spans="1:1">
      <c r="A1577" s="73">
        <v>1576</v>
      </c>
    </row>
    <row r="1578" spans="1:1">
      <c r="A1578" s="73">
        <v>1577</v>
      </c>
    </row>
    <row r="1579" spans="1:1">
      <c r="A1579" s="73">
        <v>1578</v>
      </c>
    </row>
    <row r="1580" spans="1:1">
      <c r="A1580" s="73">
        <v>1579</v>
      </c>
    </row>
    <row r="1581" spans="1:1">
      <c r="A1581" s="73">
        <v>1580</v>
      </c>
    </row>
    <row r="1582" spans="1:1">
      <c r="A1582" s="73">
        <v>1581</v>
      </c>
    </row>
    <row r="1583" spans="1:1">
      <c r="A1583" s="73">
        <v>1582</v>
      </c>
    </row>
    <row r="1584" spans="1:1">
      <c r="A1584" s="73">
        <v>1583</v>
      </c>
    </row>
    <row r="1585" spans="1:1">
      <c r="A1585" s="73">
        <v>1584</v>
      </c>
    </row>
    <row r="1586" spans="1:1">
      <c r="A1586" s="73">
        <v>1585</v>
      </c>
    </row>
    <row r="1587" spans="1:1">
      <c r="A1587" s="73">
        <v>1586</v>
      </c>
    </row>
    <row r="1588" spans="1:1">
      <c r="A1588" s="73">
        <v>1587</v>
      </c>
    </row>
    <row r="1589" spans="1:1">
      <c r="A1589" s="73">
        <v>1588</v>
      </c>
    </row>
    <row r="1590" spans="1:1">
      <c r="A1590" s="73">
        <v>1589</v>
      </c>
    </row>
    <row r="1591" spans="1:1">
      <c r="A1591" s="73">
        <v>1590</v>
      </c>
    </row>
    <row r="1592" spans="1:1">
      <c r="A1592" s="73">
        <v>1591</v>
      </c>
    </row>
    <row r="1593" spans="1:1">
      <c r="A1593" s="73">
        <v>1592</v>
      </c>
    </row>
    <row r="1594" spans="1:1">
      <c r="A1594" s="73">
        <v>1593</v>
      </c>
    </row>
    <row r="1595" spans="1:1">
      <c r="A1595" s="73">
        <v>1594</v>
      </c>
    </row>
    <row r="1596" spans="1:1">
      <c r="A1596" s="73">
        <v>1595</v>
      </c>
    </row>
    <row r="1597" spans="1:1">
      <c r="A1597" s="73">
        <v>1596</v>
      </c>
    </row>
    <row r="1598" spans="1:1">
      <c r="A1598" s="73">
        <v>1597</v>
      </c>
    </row>
    <row r="1599" spans="1:1">
      <c r="A1599" s="73">
        <v>1598</v>
      </c>
    </row>
    <row r="1600" spans="1:1">
      <c r="A1600" s="73">
        <v>1599</v>
      </c>
    </row>
    <row r="1601" spans="1:1">
      <c r="A1601" s="73">
        <v>1600</v>
      </c>
    </row>
    <row r="1602" spans="1:1">
      <c r="A1602" s="73">
        <v>1601</v>
      </c>
    </row>
    <row r="1603" spans="1:1">
      <c r="A1603" s="73">
        <v>1602</v>
      </c>
    </row>
    <row r="1604" spans="1:1">
      <c r="A1604" s="73">
        <v>1603</v>
      </c>
    </row>
    <row r="1605" spans="1:1">
      <c r="A1605" s="73">
        <v>1604</v>
      </c>
    </row>
    <row r="1606" spans="1:1">
      <c r="A1606" s="73">
        <v>1605</v>
      </c>
    </row>
    <row r="1607" spans="1:1">
      <c r="A1607" s="73">
        <v>1606</v>
      </c>
    </row>
    <row r="1608" spans="1:1">
      <c r="A1608" s="73">
        <v>1607</v>
      </c>
    </row>
    <row r="1609" spans="1:1">
      <c r="A1609" s="73">
        <v>1608</v>
      </c>
    </row>
    <row r="1610" spans="1:1">
      <c r="A1610" s="73">
        <v>1609</v>
      </c>
    </row>
    <row r="1611" spans="1:1">
      <c r="A1611" s="73">
        <v>1610</v>
      </c>
    </row>
    <row r="1612" spans="1:1">
      <c r="A1612" s="73">
        <v>1611</v>
      </c>
    </row>
    <row r="1613" spans="1:1">
      <c r="A1613" s="73">
        <v>1612</v>
      </c>
    </row>
    <row r="1614" spans="1:1">
      <c r="A1614" s="73">
        <v>1613</v>
      </c>
    </row>
    <row r="1615" spans="1:1">
      <c r="A1615" s="73">
        <v>1614</v>
      </c>
    </row>
    <row r="1616" spans="1:1">
      <c r="A1616" s="73">
        <v>1615</v>
      </c>
    </row>
    <row r="1617" spans="1:1">
      <c r="A1617" s="73">
        <v>1616</v>
      </c>
    </row>
    <row r="1618" spans="1:1">
      <c r="A1618" s="73">
        <v>1617</v>
      </c>
    </row>
    <row r="1619" spans="1:1">
      <c r="A1619" s="73">
        <v>1618</v>
      </c>
    </row>
    <row r="1620" spans="1:1">
      <c r="A1620" s="73">
        <v>1619</v>
      </c>
    </row>
    <row r="1621" spans="1:1">
      <c r="A1621" s="73">
        <v>1620</v>
      </c>
    </row>
    <row r="1622" spans="1:1">
      <c r="A1622" s="73">
        <v>1621</v>
      </c>
    </row>
    <row r="1623" spans="1:1">
      <c r="A1623" s="73">
        <v>1622</v>
      </c>
    </row>
    <row r="1624" spans="1:1">
      <c r="A1624" s="73">
        <v>1623</v>
      </c>
    </row>
    <row r="1625" spans="1:1">
      <c r="A1625" s="73">
        <v>1624</v>
      </c>
    </row>
    <row r="1626" spans="1:1">
      <c r="A1626" s="73">
        <v>1625</v>
      </c>
    </row>
    <row r="1627" spans="1:1">
      <c r="A1627" s="73">
        <v>1626</v>
      </c>
    </row>
    <row r="1628" spans="1:1">
      <c r="A1628" s="73">
        <v>1627</v>
      </c>
    </row>
    <row r="1629" spans="1:1">
      <c r="A1629" s="73">
        <v>1628</v>
      </c>
    </row>
    <row r="1630" spans="1:1">
      <c r="A1630" s="73">
        <v>1629</v>
      </c>
    </row>
    <row r="1631" spans="1:1">
      <c r="A1631" s="73">
        <v>1630</v>
      </c>
    </row>
    <row r="1632" spans="1:1">
      <c r="A1632" s="73">
        <v>1631</v>
      </c>
    </row>
    <row r="1633" spans="1:1">
      <c r="A1633" s="73">
        <v>1632</v>
      </c>
    </row>
    <row r="1634" spans="1:1">
      <c r="A1634" s="73">
        <v>1633</v>
      </c>
    </row>
    <row r="1635" spans="1:1">
      <c r="A1635" s="73">
        <v>1634</v>
      </c>
    </row>
    <row r="1636" spans="1:1">
      <c r="A1636" s="73">
        <v>1635</v>
      </c>
    </row>
    <row r="1637" spans="1:1">
      <c r="A1637" s="73">
        <v>1636</v>
      </c>
    </row>
    <row r="1638" spans="1:1">
      <c r="A1638" s="73">
        <v>1637</v>
      </c>
    </row>
    <row r="1639" spans="1:1">
      <c r="A1639" s="73">
        <v>1638</v>
      </c>
    </row>
    <row r="1640" spans="1:1">
      <c r="A1640" s="73">
        <v>1639</v>
      </c>
    </row>
    <row r="1641" spans="1:1">
      <c r="A1641" s="73">
        <v>1640</v>
      </c>
    </row>
    <row r="1642" spans="1:1">
      <c r="A1642" s="73">
        <v>1641</v>
      </c>
    </row>
    <row r="1643" spans="1:1">
      <c r="A1643" s="73">
        <v>1642</v>
      </c>
    </row>
    <row r="1644" spans="1:1">
      <c r="A1644" s="73">
        <v>1643</v>
      </c>
    </row>
    <row r="1645" spans="1:1">
      <c r="A1645" s="73">
        <v>1644</v>
      </c>
    </row>
    <row r="1646" spans="1:1">
      <c r="A1646" s="73">
        <v>1645</v>
      </c>
    </row>
    <row r="1647" spans="1:1">
      <c r="A1647" s="73">
        <v>1646</v>
      </c>
    </row>
    <row r="1648" spans="1:1">
      <c r="A1648" s="73">
        <v>1647</v>
      </c>
    </row>
    <row r="1649" spans="1:1">
      <c r="A1649" s="73">
        <v>1648</v>
      </c>
    </row>
    <row r="1650" spans="1:1">
      <c r="A1650" s="73">
        <v>1649</v>
      </c>
    </row>
    <row r="1651" spans="1:1">
      <c r="A1651" s="73">
        <v>1650</v>
      </c>
    </row>
    <row r="1652" spans="1:1">
      <c r="A1652" s="73">
        <v>1651</v>
      </c>
    </row>
    <row r="1653" spans="1:1">
      <c r="A1653" s="73">
        <v>1652</v>
      </c>
    </row>
    <row r="1654" spans="1:1">
      <c r="A1654" s="73">
        <v>1653</v>
      </c>
    </row>
    <row r="1655" spans="1:1">
      <c r="A1655" s="73">
        <v>1654</v>
      </c>
    </row>
    <row r="1656" spans="1:1">
      <c r="A1656" s="73">
        <v>1655</v>
      </c>
    </row>
    <row r="1657" spans="1:1">
      <c r="A1657" s="73">
        <v>1656</v>
      </c>
    </row>
    <row r="1658" spans="1:1">
      <c r="A1658" s="73">
        <v>1657</v>
      </c>
    </row>
    <row r="1659" spans="1:1">
      <c r="A1659" s="73">
        <v>1658</v>
      </c>
    </row>
    <row r="1660" spans="1:1">
      <c r="A1660" s="73">
        <v>1659</v>
      </c>
    </row>
    <row r="1661" spans="1:1">
      <c r="A1661" s="73">
        <v>1660</v>
      </c>
    </row>
    <row r="1662" spans="1:1">
      <c r="A1662" s="73">
        <v>1661</v>
      </c>
    </row>
    <row r="1663" spans="1:1">
      <c r="A1663" s="73">
        <v>1662</v>
      </c>
    </row>
    <row r="1664" spans="1:1">
      <c r="A1664" s="73">
        <v>1663</v>
      </c>
    </row>
    <row r="1665" spans="1:1">
      <c r="A1665" s="73">
        <v>1664</v>
      </c>
    </row>
    <row r="1666" spans="1:1">
      <c r="A1666" s="73">
        <v>1665</v>
      </c>
    </row>
    <row r="1667" spans="1:1">
      <c r="A1667" s="73">
        <v>1666</v>
      </c>
    </row>
    <row r="1668" spans="1:1">
      <c r="A1668" s="73">
        <v>1667</v>
      </c>
    </row>
    <row r="1669" spans="1:1">
      <c r="A1669" s="73">
        <v>1668</v>
      </c>
    </row>
    <row r="1670" spans="1:1">
      <c r="A1670" s="73">
        <v>1669</v>
      </c>
    </row>
    <row r="1671" spans="1:1">
      <c r="A1671" s="73">
        <v>1670</v>
      </c>
    </row>
    <row r="1672" spans="1:1">
      <c r="A1672" s="73">
        <v>1671</v>
      </c>
    </row>
    <row r="1673" spans="1:1">
      <c r="A1673" s="73">
        <v>1672</v>
      </c>
    </row>
    <row r="1674" spans="1:1">
      <c r="A1674" s="73">
        <v>1673</v>
      </c>
    </row>
    <row r="1675" spans="1:1">
      <c r="A1675" s="73">
        <v>1674</v>
      </c>
    </row>
    <row r="1676" spans="1:1">
      <c r="A1676" s="73">
        <v>1675</v>
      </c>
    </row>
    <row r="1677" spans="1:1">
      <c r="A1677" s="73">
        <v>1676</v>
      </c>
    </row>
    <row r="1678" spans="1:1">
      <c r="A1678" s="73">
        <v>1677</v>
      </c>
    </row>
    <row r="1679" spans="1:1">
      <c r="A1679" s="73">
        <v>1678</v>
      </c>
    </row>
    <row r="1680" spans="1:1">
      <c r="A1680" s="73">
        <v>1679</v>
      </c>
    </row>
    <row r="1681" spans="1:1">
      <c r="A1681" s="73">
        <v>1680</v>
      </c>
    </row>
    <row r="1682" spans="1:1">
      <c r="A1682" s="73">
        <v>1681</v>
      </c>
    </row>
    <row r="1683" spans="1:1">
      <c r="A1683" s="73">
        <v>1682</v>
      </c>
    </row>
    <row r="1684" spans="1:1">
      <c r="A1684" s="73">
        <v>1683</v>
      </c>
    </row>
    <row r="1685" spans="1:1">
      <c r="A1685" s="73">
        <v>1684</v>
      </c>
    </row>
    <row r="1686" spans="1:1">
      <c r="A1686" s="73">
        <v>1685</v>
      </c>
    </row>
    <row r="1687" spans="1:1">
      <c r="A1687" s="73">
        <v>1686</v>
      </c>
    </row>
    <row r="1688" spans="1:1">
      <c r="A1688" s="73">
        <v>1687</v>
      </c>
    </row>
    <row r="1689" spans="1:1">
      <c r="A1689" s="73">
        <v>1688</v>
      </c>
    </row>
    <row r="1690" spans="1:1">
      <c r="A1690" s="73">
        <v>1689</v>
      </c>
    </row>
    <row r="1691" spans="1:1">
      <c r="A1691" s="73">
        <v>1690</v>
      </c>
    </row>
    <row r="1692" spans="1:1">
      <c r="A1692" s="73">
        <v>1691</v>
      </c>
    </row>
    <row r="1693" spans="1:1">
      <c r="A1693" s="73">
        <v>1692</v>
      </c>
    </row>
    <row r="1694" spans="1:1">
      <c r="A1694" s="73">
        <v>1693</v>
      </c>
    </row>
    <row r="1695" spans="1:1">
      <c r="A1695" s="73">
        <v>1694</v>
      </c>
    </row>
    <row r="1696" spans="1:1">
      <c r="A1696" s="73">
        <v>1695</v>
      </c>
    </row>
    <row r="1697" spans="1:1">
      <c r="A1697" s="73">
        <v>1696</v>
      </c>
    </row>
    <row r="1698" spans="1:1">
      <c r="A1698" s="73">
        <v>1697</v>
      </c>
    </row>
    <row r="1699" spans="1:1">
      <c r="A1699" s="73">
        <v>1698</v>
      </c>
    </row>
    <row r="1700" spans="1:1">
      <c r="A1700" s="73">
        <v>1699</v>
      </c>
    </row>
    <row r="1701" spans="1:1">
      <c r="A1701" s="73">
        <v>1700</v>
      </c>
    </row>
    <row r="1702" spans="1:1">
      <c r="A1702" s="73">
        <v>1701</v>
      </c>
    </row>
    <row r="1703" spans="1:1">
      <c r="A1703" s="73">
        <v>1702</v>
      </c>
    </row>
    <row r="1704" spans="1:1">
      <c r="A1704" s="73">
        <v>1703</v>
      </c>
    </row>
    <row r="1705" spans="1:1">
      <c r="A1705" s="73">
        <v>1704</v>
      </c>
    </row>
    <row r="1706" spans="1:1">
      <c r="A1706" s="73">
        <v>1705</v>
      </c>
    </row>
    <row r="1707" spans="1:1">
      <c r="A1707" s="73">
        <v>1706</v>
      </c>
    </row>
    <row r="1708" spans="1:1">
      <c r="A1708" s="73">
        <v>1707</v>
      </c>
    </row>
    <row r="1709" spans="1:1">
      <c r="A1709" s="73">
        <v>1708</v>
      </c>
    </row>
    <row r="1710" spans="1:1">
      <c r="A1710" s="73">
        <v>1709</v>
      </c>
    </row>
    <row r="1711" spans="1:1">
      <c r="A1711" s="73">
        <v>1710</v>
      </c>
    </row>
    <row r="1712" spans="1:1">
      <c r="A1712" s="73">
        <v>1711</v>
      </c>
    </row>
    <row r="1713" spans="1:1">
      <c r="A1713" s="73">
        <v>1712</v>
      </c>
    </row>
    <row r="1714" spans="1:1">
      <c r="A1714" s="73">
        <v>1713</v>
      </c>
    </row>
    <row r="1715" spans="1:1">
      <c r="A1715" s="73">
        <v>1714</v>
      </c>
    </row>
    <row r="1716" spans="1:1">
      <c r="A1716" s="73">
        <v>1715</v>
      </c>
    </row>
    <row r="1717" spans="1:1">
      <c r="A1717" s="73">
        <v>1716</v>
      </c>
    </row>
    <row r="1718" spans="1:1">
      <c r="A1718" s="73">
        <v>1717</v>
      </c>
    </row>
    <row r="1719" spans="1:1">
      <c r="A1719" s="73">
        <v>1718</v>
      </c>
    </row>
    <row r="1720" spans="1:1">
      <c r="A1720" s="73">
        <v>1719</v>
      </c>
    </row>
    <row r="1721" spans="1:1">
      <c r="A1721" s="73">
        <v>1720</v>
      </c>
    </row>
    <row r="1722" spans="1:1">
      <c r="A1722" s="73">
        <v>1721</v>
      </c>
    </row>
    <row r="1723" spans="1:1">
      <c r="A1723" s="73">
        <v>1722</v>
      </c>
    </row>
    <row r="1724" spans="1:1">
      <c r="A1724" s="73">
        <v>1723</v>
      </c>
    </row>
    <row r="1725" spans="1:1">
      <c r="A1725" s="73">
        <v>1724</v>
      </c>
    </row>
    <row r="1726" spans="1:1">
      <c r="A1726" s="73">
        <v>1725</v>
      </c>
    </row>
    <row r="1727" spans="1:1">
      <c r="A1727" s="73">
        <v>1726</v>
      </c>
    </row>
    <row r="1728" spans="1:1">
      <c r="A1728" s="73">
        <v>1727</v>
      </c>
    </row>
    <row r="1729" spans="1:1">
      <c r="A1729" s="73">
        <v>1728</v>
      </c>
    </row>
    <row r="1730" spans="1:1">
      <c r="A1730" s="73">
        <v>1729</v>
      </c>
    </row>
    <row r="1731" spans="1:1">
      <c r="A1731" s="73">
        <v>1730</v>
      </c>
    </row>
    <row r="1732" spans="1:1">
      <c r="A1732" s="73">
        <v>1731</v>
      </c>
    </row>
    <row r="1733" spans="1:1">
      <c r="A1733" s="73">
        <v>1732</v>
      </c>
    </row>
    <row r="1734" spans="1:1">
      <c r="A1734" s="73">
        <v>1733</v>
      </c>
    </row>
    <row r="1735" spans="1:1">
      <c r="A1735" s="73">
        <v>1734</v>
      </c>
    </row>
    <row r="1736" spans="1:1">
      <c r="A1736" s="73">
        <v>1735</v>
      </c>
    </row>
    <row r="1737" spans="1:1">
      <c r="A1737" s="73">
        <v>1736</v>
      </c>
    </row>
    <row r="1738" spans="1:1">
      <c r="A1738" s="73">
        <v>1737</v>
      </c>
    </row>
    <row r="1739" spans="1:1">
      <c r="A1739" s="73">
        <v>1738</v>
      </c>
    </row>
    <row r="1740" spans="1:1">
      <c r="A1740" s="73">
        <v>1739</v>
      </c>
    </row>
    <row r="1741" spans="1:1">
      <c r="A1741" s="73">
        <v>1740</v>
      </c>
    </row>
    <row r="1742" spans="1:1">
      <c r="A1742" s="73">
        <v>1741</v>
      </c>
    </row>
    <row r="1743" spans="1:1">
      <c r="A1743" s="73">
        <v>1742</v>
      </c>
    </row>
    <row r="1744" spans="1:1">
      <c r="A1744" s="73">
        <v>1743</v>
      </c>
    </row>
    <row r="1745" spans="1:1">
      <c r="A1745" s="73">
        <v>1744</v>
      </c>
    </row>
    <row r="1746" spans="1:1">
      <c r="A1746" s="73">
        <v>1745</v>
      </c>
    </row>
    <row r="1747" spans="1:1">
      <c r="A1747" s="73">
        <v>1746</v>
      </c>
    </row>
    <row r="1748" spans="1:1">
      <c r="A1748" s="73">
        <v>1747</v>
      </c>
    </row>
    <row r="1749" spans="1:1">
      <c r="A1749" s="73">
        <v>1748</v>
      </c>
    </row>
    <row r="1750" spans="1:1">
      <c r="A1750" s="73">
        <v>1749</v>
      </c>
    </row>
    <row r="1751" spans="1:1">
      <c r="A1751" s="73">
        <v>1750</v>
      </c>
    </row>
  </sheetData>
  <sheetProtection algorithmName="SHA-512" hashValue="W2blZ3vplX+f1rAMNU2LV+IVgz1z/Yg5ZZaPODoNVx3CcrPByGgIWYM/j4WhI8Q26o1y2pLlAp9UC3zoQahLFw==" saltValue="jJNwBfu6iUfP/oY+T36PzA==" spinCount="100000" sheet="1" objects="1" scenarios="1" selectLockedCells="1" selectUnlockedCells="1"/>
  <dataConsolidate/>
  <mergeCells count="1">
    <mergeCell ref="G1:H1"/>
  </mergeCells>
  <conditionalFormatting sqref="G3:H27">
    <cfRule type="containsBlanks" dxfId="20" priority="1">
      <formula>LEN(TRIM(G3))=0</formula>
    </cfRule>
  </conditionalFormatting>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A701-E50C-499C-8209-5694AACA38CA}">
  <dimension ref="A1:AE102"/>
  <sheetViews>
    <sheetView topLeftCell="C14" zoomScale="99" zoomScaleNormal="65" workbookViewId="0">
      <selection activeCell="C14" sqref="C14:F14"/>
    </sheetView>
  </sheetViews>
  <sheetFormatPr baseColWidth="10" defaultRowHeight="14.25"/>
  <cols>
    <col min="1" max="1" width="12.73046875" style="195" hidden="1" customWidth="1"/>
    <col min="2" max="2" width="12.73046875" hidden="1" customWidth="1"/>
    <col min="3" max="702" width="12.73046875" customWidth="1"/>
  </cols>
  <sheetData>
    <row r="1" spans="1:31" hidden="1">
      <c r="A1"/>
    </row>
    <row r="2" spans="1:31" hidden="1">
      <c r="A2"/>
    </row>
    <row r="3" spans="1:31" hidden="1"/>
    <row r="4" spans="1:31" hidden="1"/>
    <row r="5" spans="1:31" hidden="1"/>
    <row r="6" spans="1:31" hidden="1"/>
    <row r="7" spans="1:31" hidden="1"/>
    <row r="8" spans="1:31" hidden="1"/>
    <row r="9" spans="1:31" hidden="1"/>
    <row r="10" spans="1:31" hidden="1"/>
    <row r="11" spans="1:31" hidden="1"/>
    <row r="12" spans="1:31" hidden="1"/>
    <row r="13" spans="1:31" hidden="1"/>
    <row r="14" spans="1:31">
      <c r="C14" s="287" t="s">
        <v>1462</v>
      </c>
      <c r="D14" s="287"/>
      <c r="E14" s="287"/>
      <c r="F14" s="287"/>
      <c r="G14" s="194" t="s">
        <v>545</v>
      </c>
      <c r="H14" s="195"/>
      <c r="I14" s="195"/>
      <c r="J14" s="195"/>
      <c r="K14" s="196"/>
      <c r="L14" s="196"/>
      <c r="M14" s="196"/>
      <c r="N14" s="288" t="s">
        <v>1463</v>
      </c>
      <c r="O14" s="288"/>
      <c r="P14" s="288"/>
      <c r="Q14" s="288"/>
      <c r="R14" s="288"/>
      <c r="S14" s="288"/>
      <c r="T14" s="288"/>
      <c r="U14" s="288"/>
      <c r="V14" s="288"/>
      <c r="W14" s="288"/>
      <c r="X14" s="288"/>
      <c r="Y14" s="288"/>
      <c r="Z14" s="288"/>
      <c r="AA14" s="288"/>
      <c r="AB14" s="288"/>
      <c r="AC14" s="288"/>
      <c r="AD14" s="288"/>
      <c r="AE14" s="197"/>
    </row>
    <row r="15" spans="1:31">
      <c r="C15" s="287" t="s">
        <v>1464</v>
      </c>
      <c r="D15" s="287"/>
      <c r="E15" s="287"/>
      <c r="F15" s="287"/>
      <c r="G15" s="38">
        <f>5-COUNTBLANK(C19:C23)</f>
        <v>3</v>
      </c>
      <c r="H15" s="195"/>
      <c r="I15" s="195"/>
      <c r="J15" s="195"/>
      <c r="K15" s="196"/>
      <c r="L15" s="196"/>
      <c r="M15" s="196"/>
      <c r="N15" s="289"/>
      <c r="O15" s="289"/>
      <c r="P15" s="289"/>
      <c r="Q15" s="289"/>
      <c r="R15" s="289"/>
      <c r="S15" s="289"/>
      <c r="T15" s="289"/>
      <c r="U15" s="289"/>
      <c r="V15" s="289"/>
      <c r="W15" s="289"/>
      <c r="X15" s="289"/>
      <c r="Y15" s="289"/>
      <c r="Z15" s="289"/>
      <c r="AA15" s="289"/>
      <c r="AB15" s="289"/>
      <c r="AC15" s="289"/>
      <c r="AD15" s="289"/>
      <c r="AE15" s="197"/>
    </row>
    <row r="16" spans="1:31">
      <c r="C16" s="195"/>
      <c r="D16" s="195"/>
      <c r="E16" s="195"/>
      <c r="F16" s="195"/>
      <c r="G16" s="195"/>
      <c r="H16" s="195"/>
      <c r="I16" s="195"/>
      <c r="J16" s="195"/>
      <c r="K16" s="196"/>
      <c r="L16" s="196"/>
      <c r="M16" s="196"/>
      <c r="N16" s="290" t="s">
        <v>1465</v>
      </c>
      <c r="O16" s="291"/>
      <c r="P16" s="291"/>
      <c r="Q16" s="291"/>
      <c r="R16" s="291"/>
      <c r="S16" s="291"/>
      <c r="T16" s="291"/>
      <c r="U16" s="291"/>
      <c r="V16" s="291"/>
      <c r="W16" s="291"/>
      <c r="X16" s="291"/>
      <c r="Y16" s="291"/>
      <c r="Z16" s="291"/>
      <c r="AA16" s="291"/>
      <c r="AB16" s="291"/>
      <c r="AC16" s="291"/>
      <c r="AD16" s="292"/>
      <c r="AE16" s="197"/>
    </row>
    <row r="17" spans="3:31">
      <c r="C17" s="296" t="s">
        <v>2</v>
      </c>
      <c r="D17" s="296"/>
      <c r="E17" s="296"/>
      <c r="F17" s="296"/>
      <c r="G17" s="296"/>
      <c r="H17" s="296"/>
      <c r="I17" s="296"/>
      <c r="J17" s="195"/>
      <c r="M17" s="196"/>
      <c r="N17" s="293"/>
      <c r="O17" s="294"/>
      <c r="P17" s="294"/>
      <c r="Q17" s="294"/>
      <c r="R17" s="294"/>
      <c r="S17" s="294"/>
      <c r="T17" s="294"/>
      <c r="U17" s="294"/>
      <c r="V17" s="294"/>
      <c r="W17" s="294"/>
      <c r="X17" s="294"/>
      <c r="Y17" s="294"/>
      <c r="Z17" s="294"/>
      <c r="AA17" s="294"/>
      <c r="AB17" s="294"/>
      <c r="AC17" s="294"/>
      <c r="AD17" s="295"/>
      <c r="AE17" s="197"/>
    </row>
    <row r="18" spans="3:31">
      <c r="C18" s="297" t="s">
        <v>5</v>
      </c>
      <c r="D18" s="297"/>
      <c r="E18" s="297"/>
      <c r="F18" s="297"/>
      <c r="G18" s="297"/>
      <c r="H18" s="198" t="s">
        <v>4</v>
      </c>
      <c r="I18" s="198" t="s">
        <v>1466</v>
      </c>
      <c r="J18" s="195"/>
      <c r="M18" s="196"/>
      <c r="N18" s="293"/>
      <c r="O18" s="294"/>
      <c r="P18" s="294"/>
      <c r="Q18" s="294"/>
      <c r="R18" s="294"/>
      <c r="S18" s="294"/>
      <c r="T18" s="294"/>
      <c r="U18" s="294"/>
      <c r="V18" s="294"/>
      <c r="W18" s="294"/>
      <c r="X18" s="294"/>
      <c r="Y18" s="294"/>
      <c r="Z18" s="294"/>
      <c r="AA18" s="294"/>
      <c r="AB18" s="294"/>
      <c r="AC18" s="294"/>
      <c r="AD18" s="295"/>
      <c r="AE18" s="197"/>
    </row>
    <row r="19" spans="3:31">
      <c r="C19" s="199" t="s">
        <v>606</v>
      </c>
      <c r="D19" s="200"/>
      <c r="E19" s="200"/>
      <c r="F19" s="200"/>
      <c r="G19" s="201"/>
      <c r="H19" s="202">
        <v>11317258</v>
      </c>
      <c r="I19" s="203" t="s">
        <v>1467</v>
      </c>
      <c r="J19" s="195"/>
      <c r="M19" s="196"/>
      <c r="N19" s="293"/>
      <c r="O19" s="294"/>
      <c r="P19" s="294"/>
      <c r="Q19" s="294"/>
      <c r="R19" s="294"/>
      <c r="S19" s="294"/>
      <c r="T19" s="294"/>
      <c r="U19" s="294"/>
      <c r="V19" s="294"/>
      <c r="W19" s="294"/>
      <c r="X19" s="294"/>
      <c r="Y19" s="294"/>
      <c r="Z19" s="294"/>
      <c r="AA19" s="294"/>
      <c r="AB19" s="294"/>
      <c r="AC19" s="294"/>
      <c r="AD19" s="295"/>
      <c r="AE19" s="197"/>
    </row>
    <row r="20" spans="3:31">
      <c r="C20" s="199" t="s">
        <v>597</v>
      </c>
      <c r="D20" s="200"/>
      <c r="E20" s="200"/>
      <c r="F20" s="200"/>
      <c r="G20" s="201"/>
      <c r="H20" s="194">
        <v>11335964</v>
      </c>
      <c r="I20" s="203"/>
      <c r="J20" s="195"/>
      <c r="M20" s="196"/>
      <c r="N20" s="293"/>
      <c r="O20" s="294"/>
      <c r="P20" s="294"/>
      <c r="Q20" s="294"/>
      <c r="R20" s="294"/>
      <c r="S20" s="294"/>
      <c r="T20" s="294"/>
      <c r="U20" s="294"/>
      <c r="V20" s="294"/>
      <c r="W20" s="294"/>
      <c r="X20" s="294"/>
      <c r="Y20" s="294"/>
      <c r="Z20" s="294"/>
      <c r="AA20" s="294"/>
      <c r="AB20" s="294"/>
      <c r="AC20" s="294"/>
      <c r="AD20" s="295"/>
      <c r="AE20" s="197"/>
    </row>
    <row r="21" spans="3:31">
      <c r="C21" s="199" t="s">
        <v>610</v>
      </c>
      <c r="D21" s="200"/>
      <c r="E21" s="200"/>
      <c r="F21" s="200"/>
      <c r="G21" s="201"/>
      <c r="H21" s="194">
        <v>11350903</v>
      </c>
      <c r="I21" s="203"/>
      <c r="J21" s="195"/>
      <c r="M21" s="196"/>
      <c r="N21" s="304" t="s">
        <v>1468</v>
      </c>
      <c r="O21" s="305"/>
      <c r="P21" s="305"/>
      <c r="Q21" s="305"/>
      <c r="R21" s="305"/>
      <c r="S21" s="305"/>
      <c r="T21" s="305"/>
      <c r="U21" s="305"/>
      <c r="V21" s="305"/>
      <c r="W21" s="305"/>
      <c r="X21" s="305"/>
      <c r="Y21" s="305"/>
      <c r="Z21" s="305"/>
      <c r="AA21" s="305"/>
      <c r="AB21" s="305"/>
      <c r="AC21" s="305"/>
      <c r="AD21" s="306"/>
      <c r="AE21" s="197"/>
    </row>
    <row r="22" spans="3:31">
      <c r="C22" s="199" t="s">
        <v>1445</v>
      </c>
      <c r="D22" s="200"/>
      <c r="E22" s="200"/>
      <c r="F22" s="200"/>
      <c r="G22" s="201"/>
      <c r="H22" s="194"/>
      <c r="I22" s="203"/>
      <c r="J22" s="195"/>
      <c r="M22" s="196"/>
      <c r="N22" s="304"/>
      <c r="O22" s="305"/>
      <c r="P22" s="305"/>
      <c r="Q22" s="305"/>
      <c r="R22" s="305"/>
      <c r="S22" s="305"/>
      <c r="T22" s="305"/>
      <c r="U22" s="305"/>
      <c r="V22" s="305"/>
      <c r="W22" s="305"/>
      <c r="X22" s="305"/>
      <c r="Y22" s="305"/>
      <c r="Z22" s="305"/>
      <c r="AA22" s="305"/>
      <c r="AB22" s="305"/>
      <c r="AC22" s="305"/>
      <c r="AD22" s="306"/>
      <c r="AE22" s="197"/>
    </row>
    <row r="23" spans="3:31">
      <c r="C23" s="199" t="s">
        <v>1445</v>
      </c>
      <c r="D23" s="200"/>
      <c r="E23" s="200"/>
      <c r="F23" s="200"/>
      <c r="G23" s="201"/>
      <c r="H23" s="194"/>
      <c r="I23" s="203"/>
      <c r="J23" s="195"/>
      <c r="M23" s="196"/>
      <c r="N23" s="304"/>
      <c r="O23" s="305"/>
      <c r="P23" s="305"/>
      <c r="Q23" s="305"/>
      <c r="R23" s="305"/>
      <c r="S23" s="305"/>
      <c r="T23" s="305"/>
      <c r="U23" s="305"/>
      <c r="V23" s="305"/>
      <c r="W23" s="305"/>
      <c r="X23" s="305"/>
      <c r="Y23" s="305"/>
      <c r="Z23" s="305"/>
      <c r="AA23" s="305"/>
      <c r="AB23" s="305"/>
      <c r="AC23" s="305"/>
      <c r="AD23" s="306"/>
      <c r="AE23" s="197"/>
    </row>
    <row r="24" spans="3:31">
      <c r="C24" s="195"/>
      <c r="D24" s="195"/>
      <c r="E24" s="195"/>
      <c r="F24" s="195"/>
      <c r="G24" s="195"/>
      <c r="H24" s="195"/>
      <c r="I24" s="195"/>
      <c r="J24" s="195"/>
      <c r="M24" s="196"/>
      <c r="N24" s="304"/>
      <c r="O24" s="305"/>
      <c r="P24" s="305"/>
      <c r="Q24" s="305"/>
      <c r="R24" s="305"/>
      <c r="S24" s="305"/>
      <c r="T24" s="305"/>
      <c r="U24" s="305"/>
      <c r="V24" s="305"/>
      <c r="W24" s="305"/>
      <c r="X24" s="305"/>
      <c r="Y24" s="305"/>
      <c r="Z24" s="305"/>
      <c r="AA24" s="305"/>
      <c r="AB24" s="305"/>
      <c r="AC24" s="305"/>
      <c r="AD24" s="306"/>
      <c r="AE24" s="197"/>
    </row>
    <row r="25" spans="3:31">
      <c r="C25" s="310" t="s">
        <v>1469</v>
      </c>
      <c r="D25" s="311"/>
      <c r="E25" s="311"/>
      <c r="F25" s="311"/>
      <c r="G25" s="312"/>
      <c r="H25" s="313" t="s">
        <v>1470</v>
      </c>
      <c r="I25" s="313" t="s">
        <v>1471</v>
      </c>
      <c r="J25" s="195"/>
      <c r="M25" s="196"/>
      <c r="N25" s="304"/>
      <c r="O25" s="305"/>
      <c r="P25" s="305"/>
      <c r="Q25" s="305"/>
      <c r="R25" s="305"/>
      <c r="S25" s="305"/>
      <c r="T25" s="305"/>
      <c r="U25" s="305"/>
      <c r="V25" s="305"/>
      <c r="W25" s="305"/>
      <c r="X25" s="305"/>
      <c r="Y25" s="305"/>
      <c r="Z25" s="305"/>
      <c r="AA25" s="305"/>
      <c r="AB25" s="305"/>
      <c r="AC25" s="305"/>
      <c r="AD25" s="306"/>
      <c r="AE25" s="197"/>
    </row>
    <row r="26" spans="3:31">
      <c r="C26" s="204" t="s">
        <v>1472</v>
      </c>
      <c r="D26" s="315" t="s">
        <v>1473</v>
      </c>
      <c r="E26" s="315"/>
      <c r="F26" s="315"/>
      <c r="G26" s="204" t="s">
        <v>1474</v>
      </c>
      <c r="H26" s="314"/>
      <c r="I26" s="314"/>
      <c r="J26" s="195"/>
      <c r="M26" s="196"/>
      <c r="N26" s="304"/>
      <c r="O26" s="305"/>
      <c r="P26" s="305"/>
      <c r="Q26" s="305"/>
      <c r="R26" s="305"/>
      <c r="S26" s="305"/>
      <c r="T26" s="305"/>
      <c r="U26" s="305"/>
      <c r="V26" s="305"/>
      <c r="W26" s="305"/>
      <c r="X26" s="305"/>
      <c r="Y26" s="305"/>
      <c r="Z26" s="305"/>
      <c r="AA26" s="305"/>
      <c r="AB26" s="305"/>
      <c r="AC26" s="305"/>
      <c r="AD26" s="306"/>
      <c r="AE26" s="197"/>
    </row>
    <row r="27" spans="3:31">
      <c r="C27" s="205">
        <v>1</v>
      </c>
      <c r="D27" s="316" t="s">
        <v>1475</v>
      </c>
      <c r="E27" s="316"/>
      <c r="F27" s="316"/>
      <c r="G27" s="205">
        <v>40</v>
      </c>
      <c r="H27" s="206" t="s">
        <v>1592</v>
      </c>
      <c r="I27" s="207" t="s">
        <v>1592</v>
      </c>
      <c r="J27" s="196"/>
      <c r="M27" s="196"/>
      <c r="N27" s="304"/>
      <c r="O27" s="305"/>
      <c r="P27" s="305"/>
      <c r="Q27" s="305"/>
      <c r="R27" s="305"/>
      <c r="S27" s="305"/>
      <c r="T27" s="305"/>
      <c r="U27" s="305"/>
      <c r="V27" s="305"/>
      <c r="W27" s="305"/>
      <c r="X27" s="305"/>
      <c r="Y27" s="305"/>
      <c r="Z27" s="305"/>
      <c r="AA27" s="305"/>
      <c r="AB27" s="305"/>
      <c r="AC27" s="305"/>
      <c r="AD27" s="306"/>
      <c r="AE27" s="197"/>
    </row>
    <row r="28" spans="3:31">
      <c r="C28" s="205">
        <v>2</v>
      </c>
      <c r="D28" s="316" t="s">
        <v>1476</v>
      </c>
      <c r="E28" s="316"/>
      <c r="F28" s="316"/>
      <c r="G28" s="205">
        <v>35</v>
      </c>
      <c r="H28" s="206" t="s">
        <v>1477</v>
      </c>
      <c r="I28" s="207" t="s">
        <v>70</v>
      </c>
      <c r="J28" s="196"/>
      <c r="M28" s="196"/>
      <c r="N28" s="304"/>
      <c r="O28" s="305"/>
      <c r="P28" s="305"/>
      <c r="Q28" s="305"/>
      <c r="R28" s="305"/>
      <c r="S28" s="305"/>
      <c r="T28" s="305"/>
      <c r="U28" s="305"/>
      <c r="V28" s="305"/>
      <c r="W28" s="305"/>
      <c r="X28" s="305"/>
      <c r="Y28" s="305"/>
      <c r="Z28" s="305"/>
      <c r="AA28" s="305"/>
      <c r="AB28" s="305"/>
      <c r="AC28" s="305"/>
      <c r="AD28" s="306"/>
      <c r="AE28" s="197"/>
    </row>
    <row r="29" spans="3:31">
      <c r="C29" s="208">
        <v>3</v>
      </c>
      <c r="D29" s="317" t="s">
        <v>1478</v>
      </c>
      <c r="E29" s="317"/>
      <c r="F29" s="317"/>
      <c r="G29" s="208">
        <v>25</v>
      </c>
      <c r="H29" s="206" t="s">
        <v>1477</v>
      </c>
      <c r="I29" s="207" t="s">
        <v>1477</v>
      </c>
      <c r="J29" s="196"/>
      <c r="M29" s="196"/>
      <c r="N29" s="304"/>
      <c r="O29" s="305"/>
      <c r="P29" s="305"/>
      <c r="Q29" s="305"/>
      <c r="R29" s="305"/>
      <c r="S29" s="305"/>
      <c r="T29" s="305"/>
      <c r="U29" s="305"/>
      <c r="V29" s="305"/>
      <c r="W29" s="305"/>
      <c r="X29" s="305"/>
      <c r="Y29" s="305"/>
      <c r="Z29" s="305"/>
      <c r="AA29" s="305"/>
      <c r="AB29" s="305"/>
      <c r="AC29" s="305"/>
      <c r="AD29" s="306"/>
      <c r="AE29" s="195"/>
    </row>
    <row r="30" spans="3:31">
      <c r="C30" s="318"/>
      <c r="D30" s="319"/>
      <c r="E30" s="319"/>
      <c r="F30" s="319"/>
      <c r="G30" s="209"/>
      <c r="H30" s="210"/>
      <c r="I30" s="211"/>
      <c r="J30" s="195"/>
      <c r="M30" s="196"/>
      <c r="N30" s="304"/>
      <c r="O30" s="305"/>
      <c r="P30" s="305"/>
      <c r="Q30" s="305"/>
      <c r="R30" s="305"/>
      <c r="S30" s="305"/>
      <c r="T30" s="305"/>
      <c r="U30" s="305"/>
      <c r="V30" s="305"/>
      <c r="W30" s="305"/>
      <c r="X30" s="305"/>
      <c r="Y30" s="305"/>
      <c r="Z30" s="305"/>
      <c r="AA30" s="305"/>
      <c r="AB30" s="305"/>
      <c r="AC30" s="305"/>
      <c r="AD30" s="306"/>
      <c r="AE30" s="195"/>
    </row>
    <row r="31" spans="3:31">
      <c r="C31" s="205" t="s">
        <v>1479</v>
      </c>
      <c r="D31" s="320" t="s">
        <v>1480</v>
      </c>
      <c r="E31" s="321"/>
      <c r="F31" s="321"/>
      <c r="G31" s="322"/>
      <c r="H31" s="212" t="s">
        <v>1585</v>
      </c>
      <c r="I31" s="212" t="s">
        <v>1585</v>
      </c>
      <c r="J31" s="195"/>
      <c r="M31" s="196"/>
      <c r="N31" s="307"/>
      <c r="O31" s="308"/>
      <c r="P31" s="308"/>
      <c r="Q31" s="308"/>
      <c r="R31" s="308"/>
      <c r="S31" s="308"/>
      <c r="T31" s="308"/>
      <c r="U31" s="308"/>
      <c r="V31" s="308"/>
      <c r="W31" s="308"/>
      <c r="X31" s="308"/>
      <c r="Y31" s="308"/>
      <c r="Z31" s="308"/>
      <c r="AA31" s="308"/>
      <c r="AB31" s="308"/>
      <c r="AC31" s="308"/>
      <c r="AD31" s="309"/>
      <c r="AE31" s="195"/>
    </row>
    <row r="32" spans="3:31">
      <c r="C32" s="195"/>
      <c r="D32" s="195"/>
      <c r="E32" s="195"/>
      <c r="F32" s="195"/>
      <c r="G32" s="195"/>
      <c r="H32" s="195"/>
      <c r="I32" s="195"/>
      <c r="J32" s="196"/>
      <c r="K32" s="196"/>
      <c r="L32" s="195"/>
      <c r="M32" s="195"/>
      <c r="N32" s="195"/>
      <c r="O32" s="195"/>
      <c r="P32" s="195"/>
      <c r="Q32" s="195"/>
      <c r="R32" s="195"/>
      <c r="S32" s="195"/>
      <c r="T32" s="195"/>
      <c r="U32" s="195"/>
      <c r="V32" s="195"/>
      <c r="W32" s="195"/>
      <c r="X32" s="195"/>
      <c r="Y32" s="4"/>
      <c r="Z32" s="4"/>
      <c r="AA32" s="4"/>
      <c r="AB32" s="4"/>
      <c r="AC32" s="4"/>
      <c r="AD32" s="4"/>
      <c r="AE32" s="195"/>
    </row>
    <row r="33" spans="1:31">
      <c r="C33" s="298" t="s">
        <v>1482</v>
      </c>
      <c r="D33" s="298"/>
      <c r="E33" s="298"/>
      <c r="F33" s="298"/>
      <c r="G33" s="298"/>
      <c r="H33" s="298"/>
      <c r="I33" s="298"/>
      <c r="J33" s="213" t="s">
        <v>1483</v>
      </c>
      <c r="K33" s="213" t="s">
        <v>1474</v>
      </c>
      <c r="L33" s="214" t="s">
        <v>1472</v>
      </c>
      <c r="M33" s="299" t="s">
        <v>1484</v>
      </c>
      <c r="N33" s="299"/>
      <c r="O33" s="299"/>
      <c r="P33" s="299"/>
      <c r="Q33" s="299"/>
      <c r="R33" s="299"/>
      <c r="S33" s="299" t="s">
        <v>1485</v>
      </c>
      <c r="T33" s="299"/>
      <c r="U33" s="299"/>
      <c r="V33" s="299"/>
      <c r="W33" s="299"/>
      <c r="X33" s="299"/>
      <c r="Y33" s="300" t="s">
        <v>1486</v>
      </c>
      <c r="Z33" s="300"/>
      <c r="AA33" s="300"/>
      <c r="AB33" s="300"/>
      <c r="AC33" s="300"/>
      <c r="AD33" s="300"/>
      <c r="AE33" s="197"/>
    </row>
    <row r="34" spans="1:31">
      <c r="A34" s="234"/>
      <c r="C34" s="301" t="s">
        <v>1487</v>
      </c>
      <c r="D34" s="301"/>
      <c r="E34" s="301"/>
      <c r="F34" s="301"/>
      <c r="G34" s="301"/>
      <c r="H34" s="301"/>
      <c r="I34" s="301"/>
      <c r="J34" s="215"/>
      <c r="K34" s="215"/>
      <c r="L34" s="215"/>
      <c r="M34" s="302"/>
      <c r="N34" s="302"/>
      <c r="O34" s="302"/>
      <c r="P34" s="302"/>
      <c r="Q34" s="302"/>
      <c r="R34" s="302"/>
      <c r="S34" s="303"/>
      <c r="T34" s="303"/>
      <c r="U34" s="303"/>
      <c r="V34" s="303"/>
      <c r="W34" s="303"/>
      <c r="X34" s="303"/>
      <c r="Y34" s="302"/>
      <c r="Z34" s="302"/>
      <c r="AA34" s="302"/>
      <c r="AB34" s="302"/>
      <c r="AC34" s="302"/>
      <c r="AD34" s="302"/>
      <c r="AE34" s="197"/>
    </row>
    <row r="35" spans="1:31">
      <c r="A35" s="234"/>
      <c r="C35" s="327" t="s">
        <v>1488</v>
      </c>
      <c r="D35" s="327"/>
      <c r="E35" s="327"/>
      <c r="F35" s="327"/>
      <c r="G35" s="327"/>
      <c r="H35" s="327"/>
      <c r="I35" s="327"/>
      <c r="J35" s="216"/>
      <c r="K35" s="216"/>
      <c r="L35" s="216"/>
      <c r="M35" s="328"/>
      <c r="N35" s="328"/>
      <c r="O35" s="328"/>
      <c r="P35" s="328"/>
      <c r="Q35" s="328"/>
      <c r="R35" s="328"/>
      <c r="S35" s="329"/>
      <c r="T35" s="329"/>
      <c r="U35" s="329"/>
      <c r="V35" s="329"/>
      <c r="W35" s="329"/>
      <c r="X35" s="329"/>
      <c r="Y35" s="328"/>
      <c r="Z35" s="328"/>
      <c r="AA35" s="328"/>
      <c r="AB35" s="328"/>
      <c r="AC35" s="328"/>
      <c r="AD35" s="328"/>
      <c r="AE35" s="197"/>
    </row>
    <row r="36" spans="1:31" ht="60" customHeight="1">
      <c r="A36" s="245" t="s">
        <v>1597</v>
      </c>
      <c r="C36" s="323" t="s">
        <v>1489</v>
      </c>
      <c r="D36" s="323"/>
      <c r="E36" s="323"/>
      <c r="F36" s="323"/>
      <c r="G36" s="323"/>
      <c r="H36" s="323"/>
      <c r="I36" s="323"/>
      <c r="J36" s="217">
        <v>6</v>
      </c>
      <c r="K36" s="218">
        <v>24</v>
      </c>
      <c r="L36" s="20">
        <v>1</v>
      </c>
      <c r="M36" s="324" t="s">
        <v>1620</v>
      </c>
      <c r="N36" s="324"/>
      <c r="O36" s="324"/>
      <c r="P36" s="324"/>
      <c r="Q36" s="324"/>
      <c r="R36" s="324"/>
      <c r="S36" s="325" t="s">
        <v>1621</v>
      </c>
      <c r="T36" s="325"/>
      <c r="U36" s="325"/>
      <c r="V36" s="325"/>
      <c r="W36" s="325"/>
      <c r="X36" s="325"/>
      <c r="Y36" s="326"/>
      <c r="Z36" s="326"/>
      <c r="AA36" s="326"/>
      <c r="AB36" s="326"/>
      <c r="AC36" s="326"/>
      <c r="AD36" s="326"/>
      <c r="AE36" s="197"/>
    </row>
    <row r="37" spans="1:31" ht="60" customHeight="1">
      <c r="A37" s="245" t="s">
        <v>1598</v>
      </c>
      <c r="C37" s="323" t="s">
        <v>1490</v>
      </c>
      <c r="D37" s="323"/>
      <c r="E37" s="323"/>
      <c r="F37" s="323"/>
      <c r="G37" s="323"/>
      <c r="H37" s="323"/>
      <c r="I37" s="323"/>
      <c r="J37" s="217">
        <v>5</v>
      </c>
      <c r="K37" s="218">
        <v>4</v>
      </c>
      <c r="L37" s="20">
        <v>1</v>
      </c>
      <c r="M37" s="324" t="s">
        <v>1622</v>
      </c>
      <c r="N37" s="324"/>
      <c r="O37" s="324"/>
      <c r="P37" s="324"/>
      <c r="Q37" s="324"/>
      <c r="R37" s="324"/>
      <c r="S37" s="325" t="s">
        <v>1499</v>
      </c>
      <c r="T37" s="325"/>
      <c r="U37" s="325"/>
      <c r="V37" s="325"/>
      <c r="W37" s="325"/>
      <c r="X37" s="325"/>
      <c r="Y37" s="326"/>
      <c r="Z37" s="326"/>
      <c r="AA37" s="326"/>
      <c r="AB37" s="326"/>
      <c r="AC37" s="326"/>
      <c r="AD37" s="326"/>
      <c r="AE37" s="197"/>
    </row>
    <row r="38" spans="1:31" ht="60" customHeight="1">
      <c r="A38" s="245" t="s">
        <v>1599</v>
      </c>
      <c r="C38" s="323" t="s">
        <v>1491</v>
      </c>
      <c r="D38" s="323"/>
      <c r="E38" s="323"/>
      <c r="F38" s="323"/>
      <c r="G38" s="323"/>
      <c r="H38" s="323"/>
      <c r="I38" s="323"/>
      <c r="J38" s="217">
        <v>5</v>
      </c>
      <c r="K38" s="218">
        <v>4</v>
      </c>
      <c r="L38" s="20">
        <v>1</v>
      </c>
      <c r="M38" s="324" t="s">
        <v>1623</v>
      </c>
      <c r="N38" s="324"/>
      <c r="O38" s="324"/>
      <c r="P38" s="324"/>
      <c r="Q38" s="324"/>
      <c r="R38" s="324"/>
      <c r="S38" s="325" t="s">
        <v>1499</v>
      </c>
      <c r="T38" s="325"/>
      <c r="U38" s="325"/>
      <c r="V38" s="325"/>
      <c r="W38" s="325"/>
      <c r="X38" s="325"/>
      <c r="Y38" s="326"/>
      <c r="Z38" s="326"/>
      <c r="AA38" s="326"/>
      <c r="AB38" s="326"/>
      <c r="AC38" s="326"/>
      <c r="AD38" s="326"/>
      <c r="AE38" s="197"/>
    </row>
    <row r="39" spans="1:31">
      <c r="A39" s="234"/>
      <c r="C39" s="331" t="s">
        <v>1492</v>
      </c>
      <c r="D39" s="331"/>
      <c r="E39" s="331"/>
      <c r="F39" s="331"/>
      <c r="G39" s="331"/>
      <c r="H39" s="331"/>
      <c r="I39" s="331"/>
      <c r="J39" s="216"/>
      <c r="K39" s="216"/>
      <c r="L39" s="216"/>
      <c r="M39" s="328"/>
      <c r="N39" s="328"/>
      <c r="O39" s="328"/>
      <c r="P39" s="328"/>
      <c r="Q39" s="328"/>
      <c r="R39" s="328"/>
      <c r="S39" s="329"/>
      <c r="T39" s="329"/>
      <c r="U39" s="329"/>
      <c r="V39" s="329"/>
      <c r="W39" s="329"/>
      <c r="X39" s="329"/>
      <c r="Y39" s="328"/>
      <c r="Z39" s="328"/>
      <c r="AA39" s="328"/>
      <c r="AB39" s="328"/>
      <c r="AC39" s="328"/>
      <c r="AD39" s="328"/>
      <c r="AE39" s="197"/>
    </row>
    <row r="40" spans="1:31" ht="60" customHeight="1">
      <c r="A40" s="245" t="s">
        <v>1600</v>
      </c>
      <c r="C40" s="323" t="s">
        <v>1493</v>
      </c>
      <c r="D40" s="323"/>
      <c r="E40" s="323"/>
      <c r="F40" s="323"/>
      <c r="G40" s="323"/>
      <c r="H40" s="323"/>
      <c r="I40" s="323"/>
      <c r="J40" s="217">
        <v>5</v>
      </c>
      <c r="K40" s="218">
        <v>4</v>
      </c>
      <c r="L40" s="20">
        <v>1</v>
      </c>
      <c r="M40" s="324" t="s">
        <v>1624</v>
      </c>
      <c r="N40" s="324"/>
      <c r="O40" s="324"/>
      <c r="P40" s="324"/>
      <c r="Q40" s="324"/>
      <c r="R40" s="324"/>
      <c r="S40" s="325" t="s">
        <v>1499</v>
      </c>
      <c r="T40" s="325"/>
      <c r="U40" s="325"/>
      <c r="V40" s="325"/>
      <c r="W40" s="325"/>
      <c r="X40" s="325"/>
      <c r="Y40" s="326"/>
      <c r="Z40" s="326"/>
      <c r="AA40" s="326"/>
      <c r="AB40" s="326"/>
      <c r="AC40" s="326"/>
      <c r="AD40" s="326"/>
      <c r="AE40" s="197"/>
    </row>
    <row r="41" spans="1:31" ht="60" customHeight="1">
      <c r="A41" s="245" t="s">
        <v>1601</v>
      </c>
      <c r="C41" s="323" t="s">
        <v>1494</v>
      </c>
      <c r="D41" s="323"/>
      <c r="E41" s="323"/>
      <c r="F41" s="323"/>
      <c r="G41" s="323"/>
      <c r="H41" s="323"/>
      <c r="I41" s="323"/>
      <c r="J41" s="217">
        <v>5</v>
      </c>
      <c r="K41" s="218">
        <v>4</v>
      </c>
      <c r="L41" s="20">
        <v>1</v>
      </c>
      <c r="M41" s="324" t="s">
        <v>1625</v>
      </c>
      <c r="N41" s="324"/>
      <c r="O41" s="324"/>
      <c r="P41" s="324"/>
      <c r="Q41" s="324"/>
      <c r="R41" s="324"/>
      <c r="S41" s="325" t="s">
        <v>1499</v>
      </c>
      <c r="T41" s="325"/>
      <c r="U41" s="325"/>
      <c r="V41" s="325"/>
      <c r="W41" s="325"/>
      <c r="X41" s="325"/>
      <c r="Y41" s="326"/>
      <c r="Z41" s="326"/>
      <c r="AA41" s="326"/>
      <c r="AB41" s="326"/>
      <c r="AC41" s="326"/>
      <c r="AD41" s="326"/>
      <c r="AE41" s="197"/>
    </row>
    <row r="42" spans="1:31">
      <c r="C42" s="330" t="s">
        <v>1495</v>
      </c>
      <c r="D42" s="330"/>
      <c r="E42" s="330"/>
      <c r="F42" s="330"/>
      <c r="G42" s="330"/>
      <c r="H42" s="330"/>
      <c r="I42" s="330"/>
      <c r="J42" s="215"/>
      <c r="K42" s="215"/>
      <c r="L42" s="215"/>
      <c r="M42" s="302"/>
      <c r="N42" s="302"/>
      <c r="O42" s="302"/>
      <c r="P42" s="302"/>
      <c r="Q42" s="302"/>
      <c r="R42" s="302"/>
      <c r="S42" s="303"/>
      <c r="T42" s="303"/>
      <c r="U42" s="303"/>
      <c r="V42" s="303"/>
      <c r="W42" s="303"/>
      <c r="X42" s="303"/>
      <c r="Y42" s="302"/>
      <c r="Z42" s="302"/>
      <c r="AA42" s="302"/>
      <c r="AB42" s="302"/>
      <c r="AC42" s="302"/>
      <c r="AD42" s="302"/>
      <c r="AE42" s="197"/>
    </row>
    <row r="43" spans="1:31">
      <c r="C43" s="327" t="s">
        <v>1496</v>
      </c>
      <c r="D43" s="327"/>
      <c r="E43" s="327"/>
      <c r="F43" s="327"/>
      <c r="G43" s="327"/>
      <c r="H43" s="327"/>
      <c r="I43" s="327"/>
      <c r="J43" s="216"/>
      <c r="K43" s="216"/>
      <c r="L43" s="216"/>
      <c r="M43" s="328"/>
      <c r="N43" s="328"/>
      <c r="O43" s="328"/>
      <c r="P43" s="328"/>
      <c r="Q43" s="328"/>
      <c r="R43" s="328"/>
      <c r="S43" s="329"/>
      <c r="T43" s="329"/>
      <c r="U43" s="329"/>
      <c r="V43" s="329"/>
      <c r="W43" s="329"/>
      <c r="X43" s="329"/>
      <c r="Y43" s="328"/>
      <c r="Z43" s="328"/>
      <c r="AA43" s="328"/>
      <c r="AB43" s="328"/>
      <c r="AC43" s="328"/>
      <c r="AD43" s="328"/>
      <c r="AE43" s="219"/>
    </row>
    <row r="44" spans="1:31" ht="60" customHeight="1">
      <c r="A44" s="245" t="s">
        <v>1602</v>
      </c>
      <c r="C44" s="323" t="s">
        <v>1497</v>
      </c>
      <c r="D44" s="323"/>
      <c r="E44" s="323"/>
      <c r="F44" s="323"/>
      <c r="G44" s="323"/>
      <c r="H44" s="323"/>
      <c r="I44" s="323"/>
      <c r="J44" s="217">
        <v>5</v>
      </c>
      <c r="K44" s="218">
        <v>23</v>
      </c>
      <c r="L44" s="20">
        <v>2</v>
      </c>
      <c r="M44" s="324" t="s">
        <v>1498</v>
      </c>
      <c r="N44" s="324"/>
      <c r="O44" s="324"/>
      <c r="P44" s="324"/>
      <c r="Q44" s="324"/>
      <c r="R44" s="324"/>
      <c r="S44" s="325" t="s">
        <v>1499</v>
      </c>
      <c r="T44" s="325"/>
      <c r="U44" s="325"/>
      <c r="V44" s="325"/>
      <c r="W44" s="325"/>
      <c r="X44" s="325"/>
      <c r="Y44" s="326"/>
      <c r="Z44" s="326"/>
      <c r="AA44" s="326"/>
      <c r="AB44" s="326"/>
      <c r="AC44" s="326"/>
      <c r="AD44" s="326"/>
      <c r="AE44" s="197"/>
    </row>
    <row r="45" spans="1:31" ht="60" customHeight="1">
      <c r="A45" s="245" t="s">
        <v>1603</v>
      </c>
      <c r="C45" s="323" t="s">
        <v>1500</v>
      </c>
      <c r="D45" s="323"/>
      <c r="E45" s="323"/>
      <c r="F45" s="323"/>
      <c r="G45" s="323"/>
      <c r="H45" s="323"/>
      <c r="I45" s="323"/>
      <c r="J45" s="217">
        <v>3</v>
      </c>
      <c r="K45" s="218">
        <v>12</v>
      </c>
      <c r="L45" s="20">
        <v>2</v>
      </c>
      <c r="M45" s="324" t="s">
        <v>1501</v>
      </c>
      <c r="N45" s="324"/>
      <c r="O45" s="324"/>
      <c r="P45" s="324"/>
      <c r="Q45" s="324"/>
      <c r="R45" s="324"/>
      <c r="S45" s="325" t="s">
        <v>1502</v>
      </c>
      <c r="T45" s="325"/>
      <c r="U45" s="325"/>
      <c r="V45" s="325"/>
      <c r="W45" s="325"/>
      <c r="X45" s="325"/>
      <c r="Y45" s="326" t="s">
        <v>1503</v>
      </c>
      <c r="Z45" s="326"/>
      <c r="AA45" s="326"/>
      <c r="AB45" s="326"/>
      <c r="AC45" s="326"/>
      <c r="AD45" s="326"/>
      <c r="AE45" s="197"/>
    </row>
    <row r="46" spans="1:31">
      <c r="A46" s="234"/>
      <c r="C46" s="301" t="s">
        <v>1504</v>
      </c>
      <c r="D46" s="301"/>
      <c r="E46" s="301"/>
      <c r="F46" s="301"/>
      <c r="G46" s="301"/>
      <c r="H46" s="301"/>
      <c r="I46" s="301"/>
      <c r="J46" s="215"/>
      <c r="K46" s="215"/>
      <c r="L46" s="215"/>
      <c r="M46" s="302"/>
      <c r="N46" s="302"/>
      <c r="O46" s="302"/>
      <c r="P46" s="302"/>
      <c r="Q46" s="302"/>
      <c r="R46" s="302"/>
      <c r="S46" s="303"/>
      <c r="T46" s="303"/>
      <c r="U46" s="303"/>
      <c r="V46" s="303"/>
      <c r="W46" s="303"/>
      <c r="X46" s="303"/>
      <c r="Y46" s="302"/>
      <c r="Z46" s="302"/>
      <c r="AA46" s="302"/>
      <c r="AB46" s="302"/>
      <c r="AC46" s="302"/>
      <c r="AD46" s="302"/>
      <c r="AE46" s="197"/>
    </row>
    <row r="47" spans="1:31">
      <c r="A47" s="234"/>
      <c r="C47" s="327" t="s">
        <v>1505</v>
      </c>
      <c r="D47" s="327"/>
      <c r="E47" s="327"/>
      <c r="F47" s="327"/>
      <c r="G47" s="327"/>
      <c r="H47" s="327"/>
      <c r="I47" s="327"/>
      <c r="J47" s="216"/>
      <c r="K47" s="216"/>
      <c r="L47" s="216"/>
      <c r="M47" s="328"/>
      <c r="N47" s="328"/>
      <c r="O47" s="328"/>
      <c r="P47" s="328"/>
      <c r="Q47" s="328"/>
      <c r="R47" s="328"/>
      <c r="S47" s="329"/>
      <c r="T47" s="329"/>
      <c r="U47" s="329"/>
      <c r="V47" s="329"/>
      <c r="W47" s="329"/>
      <c r="X47" s="329"/>
      <c r="Y47" s="328"/>
      <c r="Z47" s="328"/>
      <c r="AA47" s="328"/>
      <c r="AB47" s="328"/>
      <c r="AC47" s="328"/>
      <c r="AD47" s="328"/>
      <c r="AE47" s="197"/>
    </row>
    <row r="48" spans="1:31" ht="60" customHeight="1">
      <c r="A48" s="245" t="s">
        <v>1604</v>
      </c>
      <c r="C48" s="323" t="s">
        <v>1506</v>
      </c>
      <c r="D48" s="323"/>
      <c r="E48" s="323"/>
      <c r="F48" s="323"/>
      <c r="G48" s="323"/>
      <c r="H48" s="323"/>
      <c r="I48" s="323"/>
      <c r="J48" s="217">
        <v>5</v>
      </c>
      <c r="K48" s="218">
        <v>3</v>
      </c>
      <c r="L48" s="20">
        <v>3</v>
      </c>
      <c r="M48" s="324" t="s">
        <v>1507</v>
      </c>
      <c r="N48" s="324"/>
      <c r="O48" s="324"/>
      <c r="P48" s="324"/>
      <c r="Q48" s="324"/>
      <c r="R48" s="324"/>
      <c r="S48" s="325" t="s">
        <v>1499</v>
      </c>
      <c r="T48" s="325"/>
      <c r="U48" s="325"/>
      <c r="V48" s="325"/>
      <c r="W48" s="325"/>
      <c r="X48" s="325"/>
      <c r="Y48" s="326" t="s">
        <v>1508</v>
      </c>
      <c r="Z48" s="326"/>
      <c r="AA48" s="326"/>
      <c r="AB48" s="326"/>
      <c r="AC48" s="326"/>
      <c r="AD48" s="326"/>
      <c r="AE48" s="197"/>
    </row>
    <row r="49" spans="1:31" ht="60" customHeight="1">
      <c r="A49" s="245" t="s">
        <v>1605</v>
      </c>
      <c r="C49" s="323" t="s">
        <v>1509</v>
      </c>
      <c r="D49" s="323"/>
      <c r="E49" s="323"/>
      <c r="F49" s="323"/>
      <c r="G49" s="323"/>
      <c r="H49" s="323"/>
      <c r="I49" s="323"/>
      <c r="J49" s="217">
        <v>5</v>
      </c>
      <c r="K49" s="218">
        <v>2</v>
      </c>
      <c r="L49" s="20">
        <v>3</v>
      </c>
      <c r="M49" s="324" t="s">
        <v>1510</v>
      </c>
      <c r="N49" s="324"/>
      <c r="O49" s="324"/>
      <c r="P49" s="324"/>
      <c r="Q49" s="324"/>
      <c r="R49" s="324"/>
      <c r="S49" s="325" t="s">
        <v>1499</v>
      </c>
      <c r="T49" s="325"/>
      <c r="U49" s="325"/>
      <c r="V49" s="325"/>
      <c r="W49" s="325"/>
      <c r="X49" s="325"/>
      <c r="Y49" s="326"/>
      <c r="Z49" s="326"/>
      <c r="AA49" s="326"/>
      <c r="AB49" s="326"/>
      <c r="AC49" s="326"/>
      <c r="AD49" s="326"/>
      <c r="AE49" s="197"/>
    </row>
    <row r="50" spans="1:31" ht="60" customHeight="1">
      <c r="A50" s="245" t="s">
        <v>1606</v>
      </c>
      <c r="C50" s="323" t="s">
        <v>1511</v>
      </c>
      <c r="D50" s="323"/>
      <c r="E50" s="323"/>
      <c r="F50" s="323"/>
      <c r="G50" s="323"/>
      <c r="H50" s="323"/>
      <c r="I50" s="323"/>
      <c r="J50" s="217">
        <v>4</v>
      </c>
      <c r="K50" s="218">
        <v>1</v>
      </c>
      <c r="L50" s="20">
        <v>3</v>
      </c>
      <c r="M50" s="324" t="s">
        <v>1512</v>
      </c>
      <c r="N50" s="324"/>
      <c r="O50" s="324"/>
      <c r="P50" s="324"/>
      <c r="Q50" s="324"/>
      <c r="R50" s="324"/>
      <c r="S50" s="325" t="s">
        <v>1513</v>
      </c>
      <c r="T50" s="325"/>
      <c r="U50" s="325"/>
      <c r="V50" s="325"/>
      <c r="W50" s="325"/>
      <c r="X50" s="325"/>
      <c r="Y50" s="326" t="s">
        <v>1514</v>
      </c>
      <c r="Z50" s="326"/>
      <c r="AA50" s="326"/>
      <c r="AB50" s="326"/>
      <c r="AC50" s="326"/>
      <c r="AD50" s="326"/>
      <c r="AE50" s="197"/>
    </row>
    <row r="51" spans="1:31" ht="60" customHeight="1">
      <c r="A51" s="245" t="s">
        <v>1607</v>
      </c>
      <c r="C51" s="323" t="s">
        <v>1515</v>
      </c>
      <c r="D51" s="323"/>
      <c r="E51" s="323"/>
      <c r="F51" s="323"/>
      <c r="G51" s="323"/>
      <c r="H51" s="323"/>
      <c r="I51" s="323"/>
      <c r="J51" s="217">
        <v>5</v>
      </c>
      <c r="K51" s="218">
        <v>3</v>
      </c>
      <c r="L51" s="20">
        <v>3</v>
      </c>
      <c r="M51" s="324" t="s">
        <v>1516</v>
      </c>
      <c r="N51" s="324"/>
      <c r="O51" s="324"/>
      <c r="P51" s="324"/>
      <c r="Q51" s="324"/>
      <c r="R51" s="324"/>
      <c r="S51" s="325" t="s">
        <v>1499</v>
      </c>
      <c r="T51" s="325"/>
      <c r="U51" s="325"/>
      <c r="V51" s="325"/>
      <c r="W51" s="325"/>
      <c r="X51" s="325"/>
      <c r="Y51" s="326"/>
      <c r="Z51" s="326"/>
      <c r="AA51" s="326"/>
      <c r="AB51" s="326"/>
      <c r="AC51" s="326"/>
      <c r="AD51" s="326"/>
      <c r="AE51" s="197"/>
    </row>
    <row r="52" spans="1:31">
      <c r="A52" s="234"/>
      <c r="C52" s="331" t="s">
        <v>1517</v>
      </c>
      <c r="D52" s="331"/>
      <c r="E52" s="331"/>
      <c r="F52" s="331"/>
      <c r="G52" s="331"/>
      <c r="H52" s="331"/>
      <c r="I52" s="331"/>
      <c r="J52" s="216"/>
      <c r="K52" s="216"/>
      <c r="L52" s="216"/>
      <c r="M52" s="328"/>
      <c r="N52" s="328"/>
      <c r="O52" s="328"/>
      <c r="P52" s="328"/>
      <c r="Q52" s="328"/>
      <c r="R52" s="328"/>
      <c r="S52" s="329"/>
      <c r="T52" s="329"/>
      <c r="U52" s="329"/>
      <c r="V52" s="329"/>
      <c r="W52" s="329"/>
      <c r="X52" s="329"/>
      <c r="Y52" s="328"/>
      <c r="Z52" s="328"/>
      <c r="AA52" s="328"/>
      <c r="AB52" s="328"/>
      <c r="AC52" s="328"/>
      <c r="AD52" s="328"/>
      <c r="AE52" s="197"/>
    </row>
    <row r="53" spans="1:31" ht="60" customHeight="1">
      <c r="A53" s="245" t="s">
        <v>1608</v>
      </c>
      <c r="C53" s="323" t="s">
        <v>1518</v>
      </c>
      <c r="D53" s="323"/>
      <c r="E53" s="323"/>
      <c r="F53" s="323"/>
      <c r="G53" s="323"/>
      <c r="H53" s="323"/>
      <c r="I53" s="323"/>
      <c r="J53" s="217">
        <v>5</v>
      </c>
      <c r="K53" s="218">
        <v>3</v>
      </c>
      <c r="L53" s="20">
        <v>3</v>
      </c>
      <c r="M53" s="324" t="s">
        <v>1519</v>
      </c>
      <c r="N53" s="324"/>
      <c r="O53" s="324"/>
      <c r="P53" s="324"/>
      <c r="Q53" s="324"/>
      <c r="R53" s="324"/>
      <c r="S53" s="325" t="s">
        <v>1499</v>
      </c>
      <c r="T53" s="325"/>
      <c r="U53" s="325"/>
      <c r="V53" s="325"/>
      <c r="W53" s="325"/>
      <c r="X53" s="325"/>
      <c r="Y53" s="326"/>
      <c r="Z53" s="326"/>
      <c r="AA53" s="326"/>
      <c r="AB53" s="326"/>
      <c r="AC53" s="326"/>
      <c r="AD53" s="326"/>
      <c r="AE53" s="197"/>
    </row>
    <row r="54" spans="1:31" ht="60" customHeight="1">
      <c r="A54" s="245" t="s">
        <v>1609</v>
      </c>
      <c r="C54" s="323" t="s">
        <v>1520</v>
      </c>
      <c r="D54" s="323"/>
      <c r="E54" s="323"/>
      <c r="F54" s="323"/>
      <c r="G54" s="323"/>
      <c r="H54" s="323"/>
      <c r="I54" s="323"/>
      <c r="J54" s="217">
        <v>2</v>
      </c>
      <c r="K54" s="218">
        <v>4</v>
      </c>
      <c r="L54" s="20">
        <v>3</v>
      </c>
      <c r="M54" s="324" t="s">
        <v>1521</v>
      </c>
      <c r="N54" s="324"/>
      <c r="O54" s="324"/>
      <c r="P54" s="324"/>
      <c r="Q54" s="324"/>
      <c r="R54" s="324"/>
      <c r="S54" s="325" t="s">
        <v>1522</v>
      </c>
      <c r="T54" s="325"/>
      <c r="U54" s="325"/>
      <c r="V54" s="325"/>
      <c r="W54" s="325"/>
      <c r="X54" s="325"/>
      <c r="Y54" s="326" t="s">
        <v>1523</v>
      </c>
      <c r="Z54" s="326"/>
      <c r="AA54" s="326"/>
      <c r="AB54" s="326"/>
      <c r="AC54" s="326"/>
      <c r="AD54" s="326"/>
      <c r="AE54" s="197"/>
    </row>
    <row r="55" spans="1:31" ht="60" customHeight="1">
      <c r="A55" s="245" t="s">
        <v>1610</v>
      </c>
      <c r="C55" s="323" t="s">
        <v>1524</v>
      </c>
      <c r="D55" s="323"/>
      <c r="E55" s="323"/>
      <c r="F55" s="323"/>
      <c r="G55" s="323"/>
      <c r="H55" s="323"/>
      <c r="I55" s="323"/>
      <c r="J55" s="217">
        <v>4</v>
      </c>
      <c r="K55" s="218">
        <v>5</v>
      </c>
      <c r="L55" s="20">
        <v>3</v>
      </c>
      <c r="M55" s="324" t="s">
        <v>1626</v>
      </c>
      <c r="N55" s="324"/>
      <c r="O55" s="324"/>
      <c r="P55" s="324"/>
      <c r="Q55" s="324"/>
      <c r="R55" s="324"/>
      <c r="S55" s="325" t="s">
        <v>1513</v>
      </c>
      <c r="T55" s="325"/>
      <c r="U55" s="325"/>
      <c r="V55" s="325"/>
      <c r="W55" s="325"/>
      <c r="X55" s="325"/>
      <c r="Y55" s="326" t="s">
        <v>1627</v>
      </c>
      <c r="Z55" s="326"/>
      <c r="AA55" s="326"/>
      <c r="AB55" s="326"/>
      <c r="AC55" s="326"/>
      <c r="AD55" s="326"/>
      <c r="AE55" s="197"/>
    </row>
    <row r="56" spans="1:31" ht="60" customHeight="1">
      <c r="A56" s="245" t="s">
        <v>1611</v>
      </c>
      <c r="C56" s="323" t="s">
        <v>1525</v>
      </c>
      <c r="D56" s="323"/>
      <c r="E56" s="323"/>
      <c r="F56" s="323"/>
      <c r="G56" s="323"/>
      <c r="H56" s="323"/>
      <c r="I56" s="323"/>
      <c r="J56" s="217">
        <v>5</v>
      </c>
      <c r="K56" s="218">
        <v>4</v>
      </c>
      <c r="L56" s="20">
        <v>3</v>
      </c>
      <c r="M56" s="324" t="s">
        <v>1628</v>
      </c>
      <c r="N56" s="324"/>
      <c r="O56" s="324"/>
      <c r="P56" s="324"/>
      <c r="Q56" s="324"/>
      <c r="R56" s="324"/>
      <c r="S56" s="325" t="s">
        <v>1499</v>
      </c>
      <c r="T56" s="325"/>
      <c r="U56" s="325"/>
      <c r="V56" s="325"/>
      <c r="W56" s="325"/>
      <c r="X56" s="325"/>
      <c r="Y56" s="326"/>
      <c r="Z56" s="326"/>
      <c r="AA56" s="326"/>
      <c r="AB56" s="326"/>
      <c r="AC56" s="326"/>
      <c r="AD56" s="326"/>
      <c r="AE56" s="197"/>
    </row>
    <row r="57" spans="1:31">
      <c r="A57" s="245"/>
      <c r="C57" s="220"/>
      <c r="D57" s="220"/>
      <c r="E57" s="220"/>
      <c r="F57" s="220"/>
      <c r="G57" s="220"/>
      <c r="H57" s="220"/>
      <c r="I57" s="220"/>
      <c r="J57" s="221"/>
      <c r="K57" s="221"/>
      <c r="L57" s="221"/>
      <c r="M57" s="222"/>
      <c r="N57" s="222"/>
      <c r="O57" s="222"/>
      <c r="P57" s="222"/>
      <c r="Q57" s="222"/>
      <c r="R57" s="222"/>
      <c r="S57" s="223"/>
      <c r="T57" s="223"/>
      <c r="U57" s="223"/>
      <c r="V57" s="223"/>
      <c r="W57" s="223"/>
      <c r="X57" s="223"/>
      <c r="Y57" s="224"/>
      <c r="Z57" s="224"/>
      <c r="AA57" s="224"/>
      <c r="AB57" s="224"/>
      <c r="AC57" s="224"/>
      <c r="AD57" s="224"/>
      <c r="AE57" s="197"/>
    </row>
    <row r="58" spans="1:31">
      <c r="A58" s="245"/>
      <c r="C58" s="332" t="s">
        <v>1526</v>
      </c>
      <c r="D58" s="332"/>
      <c r="E58" s="332"/>
      <c r="F58" s="332"/>
      <c r="G58" s="332"/>
      <c r="H58" s="332"/>
      <c r="I58" s="332"/>
      <c r="J58" s="225" t="s">
        <v>1527</v>
      </c>
      <c r="K58" s="226" t="s">
        <v>1528</v>
      </c>
      <c r="L58" s="227"/>
      <c r="M58" s="333"/>
      <c r="N58" s="333"/>
      <c r="O58" s="333"/>
      <c r="P58" s="333"/>
      <c r="Q58" s="333"/>
      <c r="R58" s="333"/>
      <c r="S58" s="334"/>
      <c r="T58" s="334"/>
      <c r="U58" s="334"/>
      <c r="V58" s="334"/>
      <c r="W58" s="334"/>
      <c r="X58" s="334"/>
      <c r="Y58" s="333"/>
      <c r="Z58" s="333"/>
      <c r="AA58" s="333"/>
      <c r="AB58" s="333"/>
      <c r="AC58" s="333"/>
      <c r="AD58" s="333"/>
      <c r="AE58" s="197"/>
    </row>
    <row r="59" spans="1:31" ht="60" customHeight="1">
      <c r="A59" s="245" t="s">
        <v>1612</v>
      </c>
      <c r="C59" s="323" t="s">
        <v>1529</v>
      </c>
      <c r="D59" s="323"/>
      <c r="E59" s="323"/>
      <c r="F59" s="323"/>
      <c r="G59" s="323"/>
      <c r="H59" s="323"/>
      <c r="I59" s="323"/>
      <c r="J59" s="217">
        <v>0</v>
      </c>
      <c r="K59" s="228" t="s">
        <v>1530</v>
      </c>
      <c r="L59" s="20">
        <v>1</v>
      </c>
      <c r="M59" s="335"/>
      <c r="N59" s="336"/>
      <c r="O59" s="336"/>
      <c r="P59" s="336"/>
      <c r="Q59" s="336"/>
      <c r="R59" s="337"/>
      <c r="S59" s="338"/>
      <c r="T59" s="339"/>
      <c r="U59" s="339"/>
      <c r="V59" s="339"/>
      <c r="W59" s="339"/>
      <c r="X59" s="340"/>
      <c r="Y59" s="341"/>
      <c r="Z59" s="342"/>
      <c r="AA59" s="342"/>
      <c r="AB59" s="342"/>
      <c r="AC59" s="342"/>
      <c r="AD59" s="343"/>
      <c r="AE59" s="197"/>
    </row>
    <row r="60" spans="1:31" ht="60" customHeight="1">
      <c r="A60" s="245" t="s">
        <v>1613</v>
      </c>
      <c r="C60" s="323" t="s">
        <v>1531</v>
      </c>
      <c r="D60" s="323"/>
      <c r="E60" s="323"/>
      <c r="F60" s="323"/>
      <c r="G60" s="323"/>
      <c r="H60" s="323"/>
      <c r="I60" s="323"/>
      <c r="J60" s="217">
        <v>1</v>
      </c>
      <c r="K60" s="228" t="s">
        <v>1532</v>
      </c>
      <c r="L60" s="20">
        <v>2</v>
      </c>
      <c r="M60" s="335" t="s">
        <v>1533</v>
      </c>
      <c r="N60" s="336"/>
      <c r="O60" s="336"/>
      <c r="P60" s="336"/>
      <c r="Q60" s="336"/>
      <c r="R60" s="337"/>
      <c r="S60" s="338"/>
      <c r="T60" s="339"/>
      <c r="U60" s="339"/>
      <c r="V60" s="339"/>
      <c r="W60" s="339"/>
      <c r="X60" s="340"/>
      <c r="Y60" s="341"/>
      <c r="Z60" s="342"/>
      <c r="AA60" s="342"/>
      <c r="AB60" s="342"/>
      <c r="AC60" s="342"/>
      <c r="AD60" s="343"/>
      <c r="AE60" s="197"/>
    </row>
    <row r="61" spans="1:31" ht="60" customHeight="1">
      <c r="A61" s="245" t="s">
        <v>1614</v>
      </c>
      <c r="C61" s="323" t="s">
        <v>1534</v>
      </c>
      <c r="D61" s="323"/>
      <c r="E61" s="323"/>
      <c r="F61" s="323"/>
      <c r="G61" s="323"/>
      <c r="H61" s="323"/>
      <c r="I61" s="323"/>
      <c r="J61" s="217">
        <v>0</v>
      </c>
      <c r="K61" s="228" t="s">
        <v>1535</v>
      </c>
      <c r="L61" s="20">
        <v>3</v>
      </c>
      <c r="M61" s="335"/>
      <c r="N61" s="336"/>
      <c r="O61" s="336"/>
      <c r="P61" s="336"/>
      <c r="Q61" s="336"/>
      <c r="R61" s="337"/>
      <c r="S61" s="338"/>
      <c r="T61" s="339"/>
      <c r="U61" s="339"/>
      <c r="V61" s="339"/>
      <c r="W61" s="339"/>
      <c r="X61" s="340"/>
      <c r="Y61" s="341"/>
      <c r="Z61" s="342"/>
      <c r="AA61" s="342"/>
      <c r="AB61" s="342"/>
      <c r="AC61" s="342"/>
      <c r="AD61" s="343"/>
      <c r="AE61" s="197"/>
    </row>
    <row r="62" spans="1:31" ht="60" customHeight="1">
      <c r="A62" s="245" t="s">
        <v>1615</v>
      </c>
      <c r="C62" s="323" t="s">
        <v>1536</v>
      </c>
      <c r="D62" s="323"/>
      <c r="E62" s="323"/>
      <c r="F62" s="323"/>
      <c r="G62" s="323"/>
      <c r="H62" s="323"/>
      <c r="I62" s="323"/>
      <c r="J62" s="217">
        <v>0</v>
      </c>
      <c r="K62" s="228" t="s">
        <v>1530</v>
      </c>
      <c r="L62" s="20">
        <v>1</v>
      </c>
      <c r="M62" s="335"/>
      <c r="N62" s="336"/>
      <c r="O62" s="336"/>
      <c r="P62" s="336"/>
      <c r="Q62" s="336"/>
      <c r="R62" s="337"/>
      <c r="S62" s="338"/>
      <c r="T62" s="339"/>
      <c r="U62" s="339"/>
      <c r="V62" s="339"/>
      <c r="W62" s="339"/>
      <c r="X62" s="340"/>
      <c r="Y62" s="341"/>
      <c r="Z62" s="342"/>
      <c r="AA62" s="342"/>
      <c r="AB62" s="342"/>
      <c r="AC62" s="342"/>
      <c r="AD62" s="343"/>
      <c r="AE62" s="197"/>
    </row>
    <row r="63" spans="1:31">
      <c r="A63" s="245"/>
      <c r="C63" s="344" t="s">
        <v>1537</v>
      </c>
      <c r="D63" s="344"/>
      <c r="E63" s="344"/>
      <c r="F63" s="344"/>
      <c r="G63" s="344"/>
      <c r="H63" s="344"/>
      <c r="I63" s="344"/>
      <c r="J63" s="225" t="s">
        <v>1527</v>
      </c>
      <c r="K63" s="226" t="s">
        <v>1528</v>
      </c>
      <c r="L63" s="227"/>
      <c r="M63" s="333"/>
      <c r="N63" s="333"/>
      <c r="O63" s="333"/>
      <c r="P63" s="333"/>
      <c r="Q63" s="333"/>
      <c r="R63" s="333"/>
      <c r="S63" s="334"/>
      <c r="T63" s="334"/>
      <c r="U63" s="334"/>
      <c r="V63" s="334"/>
      <c r="W63" s="334"/>
      <c r="X63" s="334"/>
      <c r="Y63" s="333"/>
      <c r="Z63" s="333"/>
      <c r="AA63" s="333"/>
      <c r="AB63" s="333"/>
      <c r="AC63" s="333"/>
      <c r="AD63" s="333"/>
      <c r="AE63" s="197"/>
    </row>
    <row r="64" spans="1:31" ht="60" customHeight="1">
      <c r="A64" s="245" t="s">
        <v>1616</v>
      </c>
      <c r="C64" s="323" t="s">
        <v>1538</v>
      </c>
      <c r="D64" s="323"/>
      <c r="E64" s="323"/>
      <c r="F64" s="323"/>
      <c r="G64" s="323"/>
      <c r="H64" s="323"/>
      <c r="I64" s="323"/>
      <c r="J64" s="217">
        <v>0</v>
      </c>
      <c r="K64" s="228" t="s">
        <v>94</v>
      </c>
      <c r="L64" s="20" t="s">
        <v>1479</v>
      </c>
      <c r="M64" s="324"/>
      <c r="N64" s="324"/>
      <c r="O64" s="324"/>
      <c r="P64" s="324"/>
      <c r="Q64" s="324"/>
      <c r="R64" s="324"/>
      <c r="S64" s="325"/>
      <c r="T64" s="325"/>
      <c r="U64" s="325"/>
      <c r="V64" s="325"/>
      <c r="W64" s="325"/>
      <c r="X64" s="325"/>
      <c r="Y64" s="326"/>
      <c r="Z64" s="326"/>
      <c r="AA64" s="326"/>
      <c r="AB64" s="326"/>
      <c r="AC64" s="326"/>
      <c r="AD64" s="326"/>
      <c r="AE64" s="197"/>
    </row>
    <row r="65" spans="1:31">
      <c r="A65" s="245"/>
      <c r="C65" s="344" t="s">
        <v>1539</v>
      </c>
      <c r="D65" s="344"/>
      <c r="E65" s="344"/>
      <c r="F65" s="344"/>
      <c r="G65" s="344"/>
      <c r="H65" s="344"/>
      <c r="I65" s="344"/>
      <c r="J65" s="225" t="s">
        <v>1527</v>
      </c>
      <c r="K65" s="226" t="s">
        <v>1528</v>
      </c>
      <c r="L65" s="227"/>
      <c r="M65" s="333"/>
      <c r="N65" s="333"/>
      <c r="O65" s="333"/>
      <c r="P65" s="333"/>
      <c r="Q65" s="333"/>
      <c r="R65" s="333"/>
      <c r="S65" s="334"/>
      <c r="T65" s="334"/>
      <c r="U65" s="334"/>
      <c r="V65" s="334"/>
      <c r="W65" s="334"/>
      <c r="X65" s="334"/>
      <c r="Y65" s="333"/>
      <c r="Z65" s="333"/>
      <c r="AA65" s="333"/>
      <c r="AB65" s="333"/>
      <c r="AC65" s="333"/>
      <c r="AD65" s="333"/>
      <c r="AE65" s="197"/>
    </row>
    <row r="66" spans="1:31" ht="60" customHeight="1">
      <c r="A66" s="245" t="s">
        <v>1617</v>
      </c>
      <c r="C66" s="323" t="s">
        <v>1540</v>
      </c>
      <c r="D66" s="323"/>
      <c r="E66" s="323"/>
      <c r="F66" s="323"/>
      <c r="G66" s="323"/>
      <c r="H66" s="323"/>
      <c r="I66" s="323"/>
      <c r="J66" s="229"/>
      <c r="K66" s="228" t="s">
        <v>1530</v>
      </c>
      <c r="L66" s="20">
        <v>1</v>
      </c>
      <c r="M66" s="324"/>
      <c r="N66" s="324"/>
      <c r="O66" s="324"/>
      <c r="P66" s="324"/>
      <c r="Q66" s="324"/>
      <c r="R66" s="324"/>
      <c r="S66" s="325"/>
      <c r="T66" s="325"/>
      <c r="U66" s="325"/>
      <c r="V66" s="325"/>
      <c r="W66" s="325"/>
      <c r="X66" s="325"/>
      <c r="Y66" s="345"/>
      <c r="Z66" s="345"/>
      <c r="AA66" s="345"/>
      <c r="AB66" s="345"/>
      <c r="AC66" s="345"/>
      <c r="AD66" s="345"/>
      <c r="AE66" s="197"/>
    </row>
    <row r="67" spans="1:31" ht="60" customHeight="1">
      <c r="A67" s="245" t="s">
        <v>1618</v>
      </c>
      <c r="C67" s="323" t="s">
        <v>1541</v>
      </c>
      <c r="D67" s="323"/>
      <c r="E67" s="323"/>
      <c r="F67" s="323"/>
      <c r="G67" s="323"/>
      <c r="H67" s="323"/>
      <c r="I67" s="323"/>
      <c r="J67" s="229"/>
      <c r="K67" s="228" t="s">
        <v>1532</v>
      </c>
      <c r="L67" s="20">
        <v>2</v>
      </c>
      <c r="M67" s="324"/>
      <c r="N67" s="324"/>
      <c r="O67" s="324"/>
      <c r="P67" s="324"/>
      <c r="Q67" s="324"/>
      <c r="R67" s="324"/>
      <c r="S67" s="325"/>
      <c r="T67" s="325"/>
      <c r="U67" s="325"/>
      <c r="V67" s="325"/>
      <c r="W67" s="325"/>
      <c r="X67" s="325"/>
      <c r="Y67" s="345"/>
      <c r="Z67" s="345"/>
      <c r="AA67" s="345"/>
      <c r="AB67" s="345"/>
      <c r="AC67" s="345"/>
      <c r="AD67" s="345"/>
      <c r="AE67" s="197"/>
    </row>
    <row r="68" spans="1:31" ht="60" customHeight="1">
      <c r="A68" s="245" t="s">
        <v>1619</v>
      </c>
      <c r="C68" s="323" t="s">
        <v>1542</v>
      </c>
      <c r="D68" s="323"/>
      <c r="E68" s="323"/>
      <c r="F68" s="323"/>
      <c r="G68" s="323"/>
      <c r="H68" s="323"/>
      <c r="I68" s="323"/>
      <c r="J68" s="229"/>
      <c r="K68" s="228" t="s">
        <v>1535</v>
      </c>
      <c r="L68" s="20">
        <v>3</v>
      </c>
      <c r="M68" s="324"/>
      <c r="N68" s="324"/>
      <c r="O68" s="324"/>
      <c r="P68" s="324"/>
      <c r="Q68" s="324"/>
      <c r="R68" s="324"/>
      <c r="S68" s="325"/>
      <c r="T68" s="325"/>
      <c r="U68" s="325"/>
      <c r="V68" s="325"/>
      <c r="W68" s="325"/>
      <c r="X68" s="325"/>
      <c r="Y68" s="345"/>
      <c r="Z68" s="345"/>
      <c r="AA68" s="345"/>
      <c r="AB68" s="345"/>
      <c r="AC68" s="345"/>
      <c r="AD68" s="345"/>
      <c r="AE68" s="197"/>
    </row>
    <row r="69" spans="1:31">
      <c r="A69" s="4"/>
      <c r="C69" s="301" t="s">
        <v>1543</v>
      </c>
      <c r="D69" s="301"/>
      <c r="E69" s="301"/>
      <c r="F69" s="301"/>
      <c r="G69" s="301"/>
      <c r="H69" s="301"/>
      <c r="I69" s="301"/>
      <c r="J69" s="230"/>
      <c r="K69" s="231">
        <v>100</v>
      </c>
      <c r="L69" s="230"/>
      <c r="M69" s="232"/>
      <c r="N69" s="232"/>
      <c r="O69" s="232"/>
      <c r="P69" s="232"/>
      <c r="Q69" s="232"/>
      <c r="R69" s="232"/>
      <c r="S69" s="230"/>
      <c r="T69" s="230"/>
      <c r="U69" s="230"/>
      <c r="V69" s="230"/>
      <c r="W69" s="230"/>
      <c r="X69" s="230"/>
      <c r="Y69" s="233"/>
      <c r="Z69" s="233"/>
      <c r="AA69" s="233"/>
      <c r="AB69" s="233"/>
      <c r="AC69" s="233"/>
      <c r="AD69" s="233"/>
      <c r="AE69" s="197"/>
    </row>
    <row r="70" spans="1:31" ht="14.65" thickBot="1">
      <c r="C70" s="234"/>
      <c r="D70" s="234"/>
      <c r="E70" s="234"/>
      <c r="F70" s="234"/>
      <c r="G70" s="234"/>
      <c r="H70" s="234"/>
      <c r="I70" s="234"/>
      <c r="J70" s="235"/>
      <c r="K70" s="235"/>
      <c r="L70" s="235"/>
      <c r="M70" s="235"/>
      <c r="N70" s="235"/>
      <c r="O70" s="235"/>
      <c r="P70" s="235"/>
      <c r="Q70" s="235"/>
      <c r="R70" s="235"/>
      <c r="S70" s="235"/>
      <c r="T70" s="235"/>
      <c r="U70" s="235"/>
      <c r="V70" s="235"/>
      <c r="W70" s="235"/>
      <c r="X70" s="235"/>
      <c r="Y70" s="236"/>
      <c r="Z70" s="236"/>
      <c r="AA70" s="236"/>
      <c r="AB70" s="236"/>
      <c r="AC70" s="236"/>
      <c r="AD70" s="236"/>
      <c r="AE70" s="197"/>
    </row>
    <row r="71" spans="1:31">
      <c r="C71" s="346" t="s">
        <v>1544</v>
      </c>
      <c r="D71" s="347"/>
      <c r="E71" s="347"/>
      <c r="F71" s="347"/>
      <c r="G71" s="347"/>
      <c r="H71" s="347"/>
      <c r="I71" s="347"/>
      <c r="J71" s="347"/>
      <c r="K71" s="347"/>
      <c r="L71" s="347"/>
      <c r="M71" s="348"/>
      <c r="N71" s="235"/>
      <c r="O71" s="235"/>
      <c r="P71" s="352" t="s">
        <v>1545</v>
      </c>
      <c r="Q71" s="354" t="s">
        <v>1546</v>
      </c>
      <c r="R71" s="356" t="s">
        <v>1547</v>
      </c>
      <c r="S71" s="354"/>
      <c r="T71" s="354"/>
      <c r="U71" s="354"/>
      <c r="V71" s="354"/>
      <c r="W71" s="354"/>
      <c r="X71" s="354"/>
      <c r="Y71" s="354"/>
      <c r="Z71" s="357"/>
      <c r="AA71" s="234"/>
      <c r="AB71" s="236"/>
      <c r="AC71" s="236"/>
      <c r="AD71" s="236"/>
      <c r="AE71" s="197"/>
    </row>
    <row r="72" spans="1:31" ht="14.65" thickBot="1">
      <c r="C72" s="349"/>
      <c r="D72" s="350"/>
      <c r="E72" s="350"/>
      <c r="F72" s="350"/>
      <c r="G72" s="350"/>
      <c r="H72" s="350"/>
      <c r="I72" s="350"/>
      <c r="J72" s="350"/>
      <c r="K72" s="350"/>
      <c r="L72" s="350"/>
      <c r="M72" s="351"/>
      <c r="N72" s="235"/>
      <c r="O72" s="236"/>
      <c r="P72" s="353"/>
      <c r="Q72" s="355"/>
      <c r="R72" s="358"/>
      <c r="S72" s="355"/>
      <c r="T72" s="355"/>
      <c r="U72" s="355"/>
      <c r="V72" s="355"/>
      <c r="W72" s="355"/>
      <c r="X72" s="355"/>
      <c r="Y72" s="355"/>
      <c r="Z72" s="359"/>
      <c r="AA72" s="234"/>
      <c r="AB72" s="236"/>
      <c r="AC72" s="236"/>
      <c r="AD72" s="236"/>
      <c r="AE72" s="197"/>
    </row>
    <row r="73" spans="1:31">
      <c r="C73" s="379" t="s">
        <v>1548</v>
      </c>
      <c r="D73" s="380"/>
      <c r="E73" s="380"/>
      <c r="F73" s="380"/>
      <c r="G73" s="380"/>
      <c r="H73" s="380"/>
      <c r="I73" s="380"/>
      <c r="J73" s="380"/>
      <c r="K73" s="380"/>
      <c r="L73" s="380"/>
      <c r="M73" s="381"/>
      <c r="N73" s="235"/>
      <c r="O73" s="235"/>
      <c r="P73" s="237" t="s">
        <v>1549</v>
      </c>
      <c r="Q73" s="238" t="s">
        <v>1550</v>
      </c>
      <c r="R73" s="388" t="s">
        <v>1551</v>
      </c>
      <c r="S73" s="388"/>
      <c r="T73" s="388"/>
      <c r="U73" s="388"/>
      <c r="V73" s="388"/>
      <c r="W73" s="388"/>
      <c r="X73" s="388"/>
      <c r="Y73" s="388"/>
      <c r="Z73" s="389"/>
      <c r="AA73" s="234"/>
      <c r="AB73" s="236"/>
      <c r="AC73" s="236"/>
      <c r="AD73" s="236"/>
      <c r="AE73" s="197"/>
    </row>
    <row r="74" spans="1:31">
      <c r="C74" s="382"/>
      <c r="D74" s="383"/>
      <c r="E74" s="383"/>
      <c r="F74" s="383"/>
      <c r="G74" s="383"/>
      <c r="H74" s="383"/>
      <c r="I74" s="383"/>
      <c r="J74" s="383"/>
      <c r="K74" s="383"/>
      <c r="L74" s="383"/>
      <c r="M74" s="384"/>
      <c r="N74" s="235"/>
      <c r="O74" s="235"/>
      <c r="P74" s="239" t="s">
        <v>74</v>
      </c>
      <c r="Q74" s="240">
        <v>0</v>
      </c>
      <c r="R74" s="390" t="s">
        <v>1552</v>
      </c>
      <c r="S74" s="390"/>
      <c r="T74" s="390"/>
      <c r="U74" s="390"/>
      <c r="V74" s="390"/>
      <c r="W74" s="390"/>
      <c r="X74" s="390"/>
      <c r="Y74" s="390"/>
      <c r="Z74" s="391"/>
      <c r="AA74" s="234"/>
      <c r="AB74" s="236"/>
      <c r="AC74" s="236"/>
      <c r="AD74" s="236"/>
      <c r="AE74" s="197"/>
    </row>
    <row r="75" spans="1:31">
      <c r="C75" s="382"/>
      <c r="D75" s="383"/>
      <c r="E75" s="383"/>
      <c r="F75" s="383"/>
      <c r="G75" s="383"/>
      <c r="H75" s="383"/>
      <c r="I75" s="383"/>
      <c r="J75" s="383"/>
      <c r="K75" s="383"/>
      <c r="L75" s="383"/>
      <c r="M75" s="384"/>
      <c r="N75" s="235"/>
      <c r="O75" s="235"/>
      <c r="P75" s="392" t="s">
        <v>73</v>
      </c>
      <c r="Q75" s="394">
        <v>0</v>
      </c>
      <c r="R75" s="396" t="s">
        <v>1553</v>
      </c>
      <c r="S75" s="396"/>
      <c r="T75" s="396"/>
      <c r="U75" s="396"/>
      <c r="V75" s="396"/>
      <c r="W75" s="396"/>
      <c r="X75" s="396"/>
      <c r="Y75" s="396"/>
      <c r="Z75" s="397"/>
      <c r="AA75" s="234"/>
      <c r="AB75" s="236"/>
      <c r="AC75" s="236"/>
      <c r="AD75" s="236"/>
      <c r="AE75" s="197"/>
    </row>
    <row r="76" spans="1:31">
      <c r="C76" s="382"/>
      <c r="D76" s="383"/>
      <c r="E76" s="383"/>
      <c r="F76" s="383"/>
      <c r="G76" s="383"/>
      <c r="H76" s="383"/>
      <c r="I76" s="383"/>
      <c r="J76" s="383"/>
      <c r="K76" s="383"/>
      <c r="L76" s="383"/>
      <c r="M76" s="384"/>
      <c r="N76" s="235"/>
      <c r="O76" s="235"/>
      <c r="P76" s="393"/>
      <c r="Q76" s="395"/>
      <c r="R76" s="398" t="s">
        <v>1554</v>
      </c>
      <c r="S76" s="398"/>
      <c r="T76" s="398"/>
      <c r="U76" s="398"/>
      <c r="V76" s="398"/>
      <c r="W76" s="398"/>
      <c r="X76" s="398"/>
      <c r="Y76" s="398"/>
      <c r="Z76" s="399"/>
      <c r="AA76" s="234"/>
      <c r="AB76" s="236"/>
      <c r="AC76" s="236"/>
      <c r="AD76" s="236"/>
      <c r="AE76" s="197"/>
    </row>
    <row r="77" spans="1:31">
      <c r="C77" s="382"/>
      <c r="D77" s="383"/>
      <c r="E77" s="383"/>
      <c r="F77" s="383"/>
      <c r="G77" s="383"/>
      <c r="H77" s="383"/>
      <c r="I77" s="383"/>
      <c r="J77" s="383"/>
      <c r="K77" s="383"/>
      <c r="L77" s="383"/>
      <c r="M77" s="384"/>
      <c r="N77" s="235"/>
      <c r="O77" s="235"/>
      <c r="P77" s="400" t="s">
        <v>72</v>
      </c>
      <c r="Q77" s="402" t="s">
        <v>1555</v>
      </c>
      <c r="R77" s="404" t="s">
        <v>1556</v>
      </c>
      <c r="S77" s="404"/>
      <c r="T77" s="404"/>
      <c r="U77" s="404"/>
      <c r="V77" s="404"/>
      <c r="W77" s="404"/>
      <c r="X77" s="404"/>
      <c r="Y77" s="404"/>
      <c r="Z77" s="405"/>
      <c r="AA77" s="234"/>
      <c r="AB77" s="236"/>
      <c r="AC77" s="236"/>
      <c r="AD77" s="236"/>
      <c r="AE77" s="197"/>
    </row>
    <row r="78" spans="1:31">
      <c r="C78" s="382"/>
      <c r="D78" s="383"/>
      <c r="E78" s="383"/>
      <c r="F78" s="383"/>
      <c r="G78" s="383"/>
      <c r="H78" s="383"/>
      <c r="I78" s="383"/>
      <c r="J78" s="383"/>
      <c r="K78" s="383"/>
      <c r="L78" s="383"/>
      <c r="M78" s="384"/>
      <c r="N78" s="235"/>
      <c r="O78" s="235"/>
      <c r="P78" s="401"/>
      <c r="Q78" s="403"/>
      <c r="R78" s="360" t="s">
        <v>1557</v>
      </c>
      <c r="S78" s="360"/>
      <c r="T78" s="360"/>
      <c r="U78" s="360"/>
      <c r="V78" s="360"/>
      <c r="W78" s="360"/>
      <c r="X78" s="360"/>
      <c r="Y78" s="360"/>
      <c r="Z78" s="361"/>
      <c r="AA78" s="234"/>
      <c r="AB78" s="236"/>
      <c r="AC78" s="236"/>
      <c r="AD78" s="236"/>
      <c r="AE78" s="197"/>
    </row>
    <row r="79" spans="1:31">
      <c r="C79" s="385"/>
      <c r="D79" s="386"/>
      <c r="E79" s="386"/>
      <c r="F79" s="386"/>
      <c r="G79" s="386"/>
      <c r="H79" s="386"/>
      <c r="I79" s="386"/>
      <c r="J79" s="386"/>
      <c r="K79" s="386"/>
      <c r="L79" s="386"/>
      <c r="M79" s="387"/>
      <c r="N79" s="235"/>
      <c r="O79" s="235"/>
      <c r="P79" s="362" t="s">
        <v>1558</v>
      </c>
      <c r="Q79" s="364" t="s">
        <v>1559</v>
      </c>
      <c r="R79" s="366" t="s">
        <v>1560</v>
      </c>
      <c r="S79" s="366"/>
      <c r="T79" s="366"/>
      <c r="U79" s="366"/>
      <c r="V79" s="366"/>
      <c r="W79" s="366"/>
      <c r="X79" s="366"/>
      <c r="Y79" s="366"/>
      <c r="Z79" s="367"/>
      <c r="AA79" s="234"/>
      <c r="AB79" s="236"/>
      <c r="AC79" s="236"/>
      <c r="AD79" s="236"/>
      <c r="AE79" s="197"/>
    </row>
    <row r="80" spans="1:31">
      <c r="C80" s="235"/>
      <c r="D80" s="235"/>
      <c r="E80" s="235"/>
      <c r="F80" s="235"/>
      <c r="G80" s="235"/>
      <c r="H80" s="236"/>
      <c r="I80" s="236"/>
      <c r="J80" s="236"/>
      <c r="K80" s="236"/>
      <c r="L80" s="236"/>
      <c r="M80" s="236"/>
      <c r="N80" s="235"/>
      <c r="O80" s="235"/>
      <c r="P80" s="363"/>
      <c r="Q80" s="365"/>
      <c r="R80" s="368" t="s">
        <v>1561</v>
      </c>
      <c r="S80" s="368"/>
      <c r="T80" s="368"/>
      <c r="U80" s="368"/>
      <c r="V80" s="368"/>
      <c r="W80" s="368"/>
      <c r="X80" s="368"/>
      <c r="Y80" s="368"/>
      <c r="Z80" s="369"/>
      <c r="AA80" s="234"/>
      <c r="AB80" s="236"/>
      <c r="AC80" s="236"/>
      <c r="AD80" s="236"/>
      <c r="AE80" s="197"/>
    </row>
    <row r="81" spans="3:31">
      <c r="C81" s="370" t="s">
        <v>1562</v>
      </c>
      <c r="D81" s="370"/>
      <c r="E81" s="370"/>
      <c r="F81" s="370"/>
      <c r="G81" s="370"/>
      <c r="H81" s="370"/>
      <c r="I81" s="370"/>
      <c r="J81" s="370"/>
      <c r="K81" s="370"/>
      <c r="L81" s="370"/>
      <c r="M81" s="370"/>
      <c r="N81" s="235"/>
      <c r="O81" s="235"/>
      <c r="P81" s="371" t="s">
        <v>1481</v>
      </c>
      <c r="Q81" s="373" t="s">
        <v>1563</v>
      </c>
      <c r="R81" s="375" t="s">
        <v>1564</v>
      </c>
      <c r="S81" s="375"/>
      <c r="T81" s="375"/>
      <c r="U81" s="375"/>
      <c r="V81" s="375"/>
      <c r="W81" s="375"/>
      <c r="X81" s="375"/>
      <c r="Y81" s="375"/>
      <c r="Z81" s="376"/>
      <c r="AA81" s="234"/>
      <c r="AB81" s="236"/>
      <c r="AC81" s="236"/>
      <c r="AD81" s="236"/>
      <c r="AE81" s="197"/>
    </row>
    <row r="82" spans="3:31">
      <c r="C82" s="370"/>
      <c r="D82" s="370"/>
      <c r="E82" s="370"/>
      <c r="F82" s="370"/>
      <c r="G82" s="370"/>
      <c r="H82" s="370"/>
      <c r="I82" s="370"/>
      <c r="J82" s="370"/>
      <c r="K82" s="370"/>
      <c r="L82" s="370"/>
      <c r="M82" s="370"/>
      <c r="N82" s="235"/>
      <c r="O82" s="235"/>
      <c r="P82" s="372"/>
      <c r="Q82" s="374"/>
      <c r="R82" s="377" t="s">
        <v>1565</v>
      </c>
      <c r="S82" s="377"/>
      <c r="T82" s="377"/>
      <c r="U82" s="377"/>
      <c r="V82" s="377"/>
      <c r="W82" s="377"/>
      <c r="X82" s="377"/>
      <c r="Y82" s="377"/>
      <c r="Z82" s="378"/>
      <c r="AA82" s="234"/>
      <c r="AB82" s="236"/>
      <c r="AC82" s="236"/>
      <c r="AD82" s="236"/>
      <c r="AE82" s="197"/>
    </row>
    <row r="83" spans="3:31">
      <c r="C83" s="414" t="s">
        <v>1566</v>
      </c>
      <c r="D83" s="415"/>
      <c r="E83" s="415"/>
      <c r="F83" s="415"/>
      <c r="G83" s="415"/>
      <c r="H83" s="415"/>
      <c r="I83" s="415"/>
      <c r="J83" s="415"/>
      <c r="K83" s="415"/>
      <c r="L83" s="415"/>
      <c r="M83" s="416"/>
      <c r="N83" s="235"/>
      <c r="O83" s="235"/>
      <c r="P83" s="423" t="s">
        <v>1567</v>
      </c>
      <c r="Q83" s="424" t="s">
        <v>1568</v>
      </c>
      <c r="R83" s="425" t="s">
        <v>1569</v>
      </c>
      <c r="S83" s="425"/>
      <c r="T83" s="425"/>
      <c r="U83" s="425"/>
      <c r="V83" s="425"/>
      <c r="W83" s="425"/>
      <c r="X83" s="425"/>
      <c r="Y83" s="425"/>
      <c r="Z83" s="426"/>
      <c r="AA83" s="234"/>
      <c r="AB83" s="236"/>
      <c r="AC83" s="236"/>
      <c r="AD83" s="236"/>
      <c r="AE83" s="197"/>
    </row>
    <row r="84" spans="3:31">
      <c r="C84" s="417"/>
      <c r="D84" s="418"/>
      <c r="E84" s="418"/>
      <c r="F84" s="418"/>
      <c r="G84" s="418"/>
      <c r="H84" s="418"/>
      <c r="I84" s="418"/>
      <c r="J84" s="418"/>
      <c r="K84" s="418"/>
      <c r="L84" s="418"/>
      <c r="M84" s="419"/>
      <c r="N84" s="235"/>
      <c r="O84" s="235"/>
      <c r="P84" s="372"/>
      <c r="Q84" s="374"/>
      <c r="R84" s="377" t="s">
        <v>1570</v>
      </c>
      <c r="S84" s="377"/>
      <c r="T84" s="377"/>
      <c r="U84" s="377"/>
      <c r="V84" s="377"/>
      <c r="W84" s="377"/>
      <c r="X84" s="377"/>
      <c r="Y84" s="377"/>
      <c r="Z84" s="378"/>
      <c r="AA84" s="234"/>
      <c r="AB84" s="236"/>
      <c r="AC84" s="236"/>
      <c r="AD84" s="236"/>
      <c r="AE84" s="197"/>
    </row>
    <row r="85" spans="3:31">
      <c r="C85" s="417"/>
      <c r="D85" s="418"/>
      <c r="E85" s="418"/>
      <c r="F85" s="418"/>
      <c r="G85" s="418"/>
      <c r="H85" s="418"/>
      <c r="I85" s="418"/>
      <c r="J85" s="418"/>
      <c r="K85" s="418"/>
      <c r="L85" s="418"/>
      <c r="M85" s="419"/>
      <c r="N85" s="235"/>
      <c r="O85" s="235"/>
      <c r="P85" s="371" t="s">
        <v>1571</v>
      </c>
      <c r="Q85" s="373" t="s">
        <v>1572</v>
      </c>
      <c r="R85" s="375" t="s">
        <v>1573</v>
      </c>
      <c r="S85" s="375"/>
      <c r="T85" s="375"/>
      <c r="U85" s="375"/>
      <c r="V85" s="375"/>
      <c r="W85" s="375"/>
      <c r="X85" s="375"/>
      <c r="Y85" s="375"/>
      <c r="Z85" s="376"/>
      <c r="AA85" s="234"/>
      <c r="AB85" s="236"/>
      <c r="AC85" s="236"/>
      <c r="AD85" s="236"/>
      <c r="AE85" s="197"/>
    </row>
    <row r="86" spans="3:31">
      <c r="C86" s="417"/>
      <c r="D86" s="418"/>
      <c r="E86" s="418"/>
      <c r="F86" s="418"/>
      <c r="G86" s="418"/>
      <c r="H86" s="418"/>
      <c r="I86" s="418"/>
      <c r="J86" s="418"/>
      <c r="K86" s="418"/>
      <c r="L86" s="418"/>
      <c r="M86" s="419"/>
      <c r="N86" s="235"/>
      <c r="O86" s="235"/>
      <c r="P86" s="372"/>
      <c r="Q86" s="374"/>
      <c r="R86" s="377" t="s">
        <v>1574</v>
      </c>
      <c r="S86" s="377"/>
      <c r="T86" s="377"/>
      <c r="U86" s="377"/>
      <c r="V86" s="377"/>
      <c r="W86" s="377"/>
      <c r="X86" s="377"/>
      <c r="Y86" s="377"/>
      <c r="Z86" s="378"/>
      <c r="AA86" s="234"/>
      <c r="AB86" s="236"/>
      <c r="AC86" s="236"/>
      <c r="AD86" s="236"/>
      <c r="AE86" s="197"/>
    </row>
    <row r="87" spans="3:31">
      <c r="C87" s="417"/>
      <c r="D87" s="418"/>
      <c r="E87" s="418"/>
      <c r="F87" s="418"/>
      <c r="G87" s="418"/>
      <c r="H87" s="418"/>
      <c r="I87" s="418"/>
      <c r="J87" s="418"/>
      <c r="K87" s="418"/>
      <c r="L87" s="418"/>
      <c r="M87" s="419"/>
      <c r="N87" s="235"/>
      <c r="O87" s="235"/>
      <c r="P87" s="412" t="s">
        <v>1575</v>
      </c>
      <c r="Q87" s="406" t="s">
        <v>1576</v>
      </c>
      <c r="R87" s="408" t="s">
        <v>1577</v>
      </c>
      <c r="S87" s="408"/>
      <c r="T87" s="408"/>
      <c r="U87" s="408"/>
      <c r="V87" s="408"/>
      <c r="W87" s="408"/>
      <c r="X87" s="408"/>
      <c r="Y87" s="408"/>
      <c r="Z87" s="409"/>
      <c r="AA87" s="234"/>
      <c r="AB87" s="236"/>
      <c r="AC87" s="236"/>
      <c r="AD87" s="236"/>
      <c r="AE87" s="197"/>
    </row>
    <row r="88" spans="3:31">
      <c r="C88" s="420"/>
      <c r="D88" s="421"/>
      <c r="E88" s="421"/>
      <c r="F88" s="421"/>
      <c r="G88" s="421"/>
      <c r="H88" s="421"/>
      <c r="I88" s="421"/>
      <c r="J88" s="421"/>
      <c r="K88" s="421"/>
      <c r="L88" s="421"/>
      <c r="M88" s="422"/>
      <c r="N88" s="235"/>
      <c r="O88" s="235"/>
      <c r="P88" s="413"/>
      <c r="Q88" s="407"/>
      <c r="R88" s="410" t="s">
        <v>1578</v>
      </c>
      <c r="S88" s="410"/>
      <c r="T88" s="410"/>
      <c r="U88" s="410"/>
      <c r="V88" s="410"/>
      <c r="W88" s="410"/>
      <c r="X88" s="410"/>
      <c r="Y88" s="410"/>
      <c r="Z88" s="411"/>
      <c r="AA88" s="234"/>
      <c r="AB88" s="236"/>
      <c r="AC88" s="236"/>
      <c r="AD88" s="236"/>
      <c r="AE88" s="197"/>
    </row>
    <row r="89" spans="3:31">
      <c r="C89" s="234"/>
      <c r="D89" s="234"/>
      <c r="E89" s="234"/>
      <c r="F89" s="234"/>
      <c r="G89" s="234"/>
      <c r="H89" s="234"/>
      <c r="I89" s="234"/>
      <c r="J89" s="235"/>
      <c r="K89" s="235"/>
      <c r="L89" s="235"/>
      <c r="M89" s="235"/>
      <c r="N89" s="235"/>
      <c r="O89" s="235"/>
      <c r="P89" s="412" t="s">
        <v>70</v>
      </c>
      <c r="Q89" s="406" t="s">
        <v>1579</v>
      </c>
      <c r="R89" s="408" t="s">
        <v>1580</v>
      </c>
      <c r="S89" s="408"/>
      <c r="T89" s="408"/>
      <c r="U89" s="408"/>
      <c r="V89" s="408"/>
      <c r="W89" s="408"/>
      <c r="X89" s="408"/>
      <c r="Y89" s="408"/>
      <c r="Z89" s="409"/>
      <c r="AA89" s="234"/>
      <c r="AB89" s="236"/>
      <c r="AC89" s="236"/>
      <c r="AD89" s="236"/>
      <c r="AE89" s="197"/>
    </row>
    <row r="90" spans="3:31">
      <c r="C90" s="234"/>
      <c r="D90" s="234"/>
      <c r="E90" s="234"/>
      <c r="F90" s="234"/>
      <c r="G90" s="234"/>
      <c r="H90" s="234"/>
      <c r="I90" s="234"/>
      <c r="J90" s="235"/>
      <c r="K90" s="235"/>
      <c r="L90" s="235"/>
      <c r="M90" s="235"/>
      <c r="N90" s="235"/>
      <c r="O90" s="235"/>
      <c r="P90" s="413"/>
      <c r="Q90" s="407"/>
      <c r="R90" s="410" t="s">
        <v>1581</v>
      </c>
      <c r="S90" s="410"/>
      <c r="T90" s="410"/>
      <c r="U90" s="410"/>
      <c r="V90" s="410"/>
      <c r="W90" s="410"/>
      <c r="X90" s="410"/>
      <c r="Y90" s="410"/>
      <c r="Z90" s="411"/>
      <c r="AA90" s="234"/>
      <c r="AB90" s="236"/>
      <c r="AC90" s="236"/>
      <c r="AD90" s="236"/>
      <c r="AE90" s="197"/>
    </row>
    <row r="91" spans="3:31">
      <c r="C91" s="234"/>
      <c r="D91" s="234"/>
      <c r="E91" s="234"/>
      <c r="F91" s="234"/>
      <c r="G91" s="234"/>
      <c r="H91" s="234"/>
      <c r="I91" s="234"/>
      <c r="J91" s="235"/>
      <c r="K91" s="235"/>
      <c r="L91" s="235"/>
      <c r="M91" s="235"/>
      <c r="N91" s="235"/>
      <c r="O91" s="235"/>
      <c r="P91" s="412" t="s">
        <v>1477</v>
      </c>
      <c r="Q91" s="406" t="s">
        <v>1582</v>
      </c>
      <c r="R91" s="408" t="s">
        <v>1583</v>
      </c>
      <c r="S91" s="408"/>
      <c r="T91" s="408"/>
      <c r="U91" s="408"/>
      <c r="V91" s="408"/>
      <c r="W91" s="408"/>
      <c r="X91" s="408"/>
      <c r="Y91" s="408"/>
      <c r="Z91" s="409"/>
      <c r="AA91" s="234"/>
      <c r="AB91" s="241"/>
      <c r="AC91" s="241"/>
      <c r="AD91" s="241"/>
      <c r="AE91" s="197"/>
    </row>
    <row r="92" spans="3:31">
      <c r="C92" s="234"/>
      <c r="D92" s="234"/>
      <c r="E92" s="234"/>
      <c r="F92" s="234"/>
      <c r="G92" s="234"/>
      <c r="H92" s="234"/>
      <c r="I92" s="234"/>
      <c r="J92" s="235"/>
      <c r="K92" s="235"/>
      <c r="L92" s="235"/>
      <c r="M92" s="235"/>
      <c r="N92" s="235"/>
      <c r="O92" s="235"/>
      <c r="P92" s="413"/>
      <c r="Q92" s="407"/>
      <c r="R92" s="410" t="s">
        <v>1584</v>
      </c>
      <c r="S92" s="410"/>
      <c r="T92" s="410"/>
      <c r="U92" s="410"/>
      <c r="V92" s="410"/>
      <c r="W92" s="410"/>
      <c r="X92" s="410"/>
      <c r="Y92" s="410"/>
      <c r="Z92" s="411"/>
      <c r="AA92" s="234"/>
      <c r="AB92" s="241"/>
      <c r="AC92" s="241"/>
      <c r="AD92" s="241"/>
      <c r="AE92" s="197"/>
    </row>
    <row r="93" spans="3:31">
      <c r="C93" s="234"/>
      <c r="D93" s="234"/>
      <c r="E93" s="234"/>
      <c r="F93" s="234"/>
      <c r="G93" s="234"/>
      <c r="H93" s="234"/>
      <c r="I93" s="234"/>
      <c r="J93" s="235"/>
      <c r="K93" s="235"/>
      <c r="L93" s="235"/>
      <c r="M93" s="235"/>
      <c r="N93" s="235"/>
      <c r="O93" s="235"/>
      <c r="P93" s="427" t="s">
        <v>1585</v>
      </c>
      <c r="Q93" s="429" t="s">
        <v>1586</v>
      </c>
      <c r="R93" s="431" t="s">
        <v>1587</v>
      </c>
      <c r="S93" s="431"/>
      <c r="T93" s="431"/>
      <c r="U93" s="431"/>
      <c r="V93" s="431"/>
      <c r="W93" s="431"/>
      <c r="X93" s="431"/>
      <c r="Y93" s="431"/>
      <c r="Z93" s="432"/>
      <c r="AA93" s="234"/>
      <c r="AB93" s="241"/>
      <c r="AC93" s="241"/>
      <c r="AD93" s="241"/>
      <c r="AE93" s="197"/>
    </row>
    <row r="94" spans="3:31">
      <c r="C94" s="234"/>
      <c r="D94" s="234"/>
      <c r="E94" s="234"/>
      <c r="F94" s="234"/>
      <c r="G94" s="234"/>
      <c r="H94" s="234"/>
      <c r="I94" s="234"/>
      <c r="J94" s="235"/>
      <c r="K94" s="235"/>
      <c r="L94" s="235"/>
      <c r="M94" s="235"/>
      <c r="N94" s="235"/>
      <c r="O94" s="235"/>
      <c r="P94" s="428"/>
      <c r="Q94" s="430"/>
      <c r="R94" s="433" t="s">
        <v>1588</v>
      </c>
      <c r="S94" s="433"/>
      <c r="T94" s="433"/>
      <c r="U94" s="433"/>
      <c r="V94" s="433"/>
      <c r="W94" s="433"/>
      <c r="X94" s="433"/>
      <c r="Y94" s="433"/>
      <c r="Z94" s="434"/>
      <c r="AA94" s="234"/>
      <c r="AB94" s="241"/>
      <c r="AC94" s="241"/>
      <c r="AD94" s="241"/>
      <c r="AE94" s="197"/>
    </row>
    <row r="95" spans="3:31">
      <c r="C95" s="234"/>
      <c r="D95" s="234"/>
      <c r="E95" s="234"/>
      <c r="F95" s="234"/>
      <c r="G95" s="234"/>
      <c r="H95" s="234"/>
      <c r="I95" s="234"/>
      <c r="J95" s="235"/>
      <c r="K95" s="235"/>
      <c r="L95" s="235"/>
      <c r="M95" s="235"/>
      <c r="N95" s="235"/>
      <c r="O95" s="235"/>
      <c r="P95" s="427" t="s">
        <v>69</v>
      </c>
      <c r="Q95" s="429" t="s">
        <v>1589</v>
      </c>
      <c r="R95" s="431" t="s">
        <v>1590</v>
      </c>
      <c r="S95" s="431"/>
      <c r="T95" s="431"/>
      <c r="U95" s="431"/>
      <c r="V95" s="431"/>
      <c r="W95" s="431"/>
      <c r="X95" s="431"/>
      <c r="Y95" s="431"/>
      <c r="Z95" s="432"/>
      <c r="AA95" s="234"/>
      <c r="AB95" s="241"/>
      <c r="AC95" s="241"/>
      <c r="AD95" s="241"/>
      <c r="AE95" s="197"/>
    </row>
    <row r="96" spans="3:31">
      <c r="C96" s="234"/>
      <c r="D96" s="234"/>
      <c r="E96" s="234"/>
      <c r="F96" s="234"/>
      <c r="G96" s="234"/>
      <c r="H96" s="234"/>
      <c r="I96" s="234"/>
      <c r="J96" s="235"/>
      <c r="K96" s="235"/>
      <c r="L96" s="235"/>
      <c r="M96" s="235"/>
      <c r="N96" s="235"/>
      <c r="O96" s="235"/>
      <c r="P96" s="428"/>
      <c r="Q96" s="430"/>
      <c r="R96" s="433" t="s">
        <v>1591</v>
      </c>
      <c r="S96" s="433"/>
      <c r="T96" s="433"/>
      <c r="U96" s="433"/>
      <c r="V96" s="433"/>
      <c r="W96" s="433"/>
      <c r="X96" s="433"/>
      <c r="Y96" s="433"/>
      <c r="Z96" s="434"/>
      <c r="AA96" s="234"/>
      <c r="AB96" s="234"/>
      <c r="AC96" s="234"/>
      <c r="AD96" s="234"/>
      <c r="AE96" s="197"/>
    </row>
    <row r="97" spans="3:31">
      <c r="C97" s="234"/>
      <c r="D97" s="234"/>
      <c r="E97" s="234"/>
      <c r="F97" s="234"/>
      <c r="G97" s="234"/>
      <c r="H97" s="234"/>
      <c r="I97" s="234"/>
      <c r="J97" s="235"/>
      <c r="K97" s="235"/>
      <c r="L97" s="235"/>
      <c r="M97" s="235"/>
      <c r="N97" s="235"/>
      <c r="O97" s="235"/>
      <c r="P97" s="435" t="s">
        <v>1592</v>
      </c>
      <c r="Q97" s="437" t="s">
        <v>1593</v>
      </c>
      <c r="R97" s="439" t="s">
        <v>1594</v>
      </c>
      <c r="S97" s="439"/>
      <c r="T97" s="439"/>
      <c r="U97" s="439"/>
      <c r="V97" s="439"/>
      <c r="W97" s="439"/>
      <c r="X97" s="439"/>
      <c r="Y97" s="439"/>
      <c r="Z97" s="440"/>
      <c r="AA97" s="234"/>
      <c r="AB97" s="234"/>
      <c r="AC97" s="234"/>
      <c r="AD97" s="234"/>
      <c r="AE97" s="197"/>
    </row>
    <row r="98" spans="3:31" ht="14.65" thickBot="1">
      <c r="C98" s="234"/>
      <c r="D98" s="234"/>
      <c r="E98" s="234"/>
      <c r="F98" s="234"/>
      <c r="G98" s="234"/>
      <c r="H98" s="234"/>
      <c r="I98" s="234"/>
      <c r="J98" s="235"/>
      <c r="K98" s="235"/>
      <c r="L98" s="235"/>
      <c r="M98" s="235"/>
      <c r="N98" s="235"/>
      <c r="O98" s="235"/>
      <c r="P98" s="436"/>
      <c r="Q98" s="438"/>
      <c r="R98" s="441" t="s">
        <v>1595</v>
      </c>
      <c r="S98" s="441"/>
      <c r="T98" s="441"/>
      <c r="U98" s="441"/>
      <c r="V98" s="441"/>
      <c r="W98" s="441"/>
      <c r="X98" s="441"/>
      <c r="Y98" s="441"/>
      <c r="Z98" s="442"/>
      <c r="AA98" s="234"/>
      <c r="AB98" s="234"/>
      <c r="AC98" s="234"/>
      <c r="AD98" s="234"/>
      <c r="AE98" s="197"/>
    </row>
    <row r="99" spans="3:31">
      <c r="C99" s="234"/>
      <c r="D99" s="234"/>
      <c r="E99" s="234"/>
      <c r="F99" s="234"/>
      <c r="G99" s="234"/>
      <c r="H99" s="234"/>
      <c r="I99" s="234"/>
      <c r="J99" s="235"/>
      <c r="K99" s="235"/>
      <c r="L99" s="235"/>
      <c r="M99" s="235"/>
      <c r="N99" s="235"/>
      <c r="O99" s="235"/>
      <c r="P99" s="242" t="s">
        <v>1596</v>
      </c>
      <c r="Q99" s="243"/>
      <c r="R99" s="243"/>
      <c r="S99" s="243"/>
      <c r="T99" s="243"/>
      <c r="U99" s="243"/>
      <c r="V99" s="243"/>
      <c r="W99" s="243"/>
      <c r="X99" s="243"/>
      <c r="Y99" s="243"/>
      <c r="Z99" s="243"/>
      <c r="AA99" s="244"/>
      <c r="AB99" s="234"/>
      <c r="AC99" s="234"/>
      <c r="AD99" s="234"/>
      <c r="AE99" s="197"/>
    </row>
    <row r="100" spans="3:31">
      <c r="C100" s="195"/>
      <c r="D100" s="195"/>
      <c r="E100" s="195"/>
      <c r="F100" s="195"/>
      <c r="G100" s="195"/>
      <c r="H100" s="195"/>
      <c r="I100" s="195"/>
      <c r="J100" s="196"/>
      <c r="K100" s="196"/>
      <c r="L100" s="196"/>
      <c r="M100" s="196"/>
      <c r="N100" s="196"/>
      <c r="O100" s="196"/>
      <c r="P100" s="196"/>
      <c r="Q100" s="196"/>
      <c r="R100" s="196"/>
      <c r="S100" s="196"/>
      <c r="T100" s="196"/>
      <c r="U100" s="196"/>
      <c r="V100" s="196"/>
      <c r="W100" s="196"/>
      <c r="X100" s="196"/>
      <c r="Y100" s="4"/>
      <c r="Z100" s="195"/>
      <c r="AA100" s="195"/>
      <c r="AB100" s="195"/>
      <c r="AC100" s="195"/>
      <c r="AD100" s="195"/>
      <c r="AE100" s="197"/>
    </row>
    <row r="101" spans="3:31">
      <c r="C101" s="195"/>
      <c r="D101" s="195"/>
      <c r="E101" s="195"/>
      <c r="F101" s="195"/>
      <c r="G101" s="195"/>
      <c r="H101" s="195"/>
      <c r="I101" s="195"/>
      <c r="J101" s="196"/>
      <c r="K101" s="196"/>
      <c r="L101" s="196"/>
      <c r="M101" s="196"/>
      <c r="N101" s="196"/>
      <c r="O101" s="196"/>
      <c r="P101" s="196"/>
      <c r="Q101" s="196"/>
      <c r="R101" s="196"/>
      <c r="S101" s="196"/>
      <c r="T101" s="196"/>
      <c r="U101" s="196"/>
      <c r="V101" s="196"/>
      <c r="W101" s="196"/>
      <c r="X101" s="196"/>
      <c r="Y101" s="4"/>
      <c r="Z101" s="195"/>
      <c r="AA101" s="195"/>
      <c r="AB101" s="195"/>
      <c r="AC101" s="195"/>
      <c r="AD101" s="195"/>
      <c r="AE101" s="197"/>
    </row>
    <row r="102" spans="3:31">
      <c r="C102" s="195"/>
      <c r="D102" s="195"/>
      <c r="E102" s="195"/>
      <c r="F102" s="195"/>
      <c r="G102" s="195"/>
      <c r="H102" s="195"/>
      <c r="I102" s="195"/>
      <c r="J102" s="196"/>
      <c r="K102" s="196"/>
      <c r="L102" s="196"/>
      <c r="M102" s="196"/>
      <c r="N102" s="196"/>
      <c r="O102" s="196"/>
      <c r="P102" s="196"/>
      <c r="Q102" s="196"/>
      <c r="R102" s="196"/>
      <c r="S102" s="196"/>
      <c r="T102" s="196"/>
      <c r="U102" s="196"/>
      <c r="V102" s="196"/>
      <c r="W102" s="196"/>
      <c r="X102" s="196"/>
      <c r="Y102" s="4"/>
      <c r="Z102" s="4"/>
      <c r="AA102" s="4"/>
      <c r="AB102" s="4"/>
      <c r="AC102" s="4"/>
      <c r="AD102" s="4"/>
      <c r="AE102" s="197"/>
    </row>
  </sheetData>
  <mergeCells count="214">
    <mergeCell ref="P95:P96"/>
    <mergeCell ref="Q95:Q96"/>
    <mergeCell ref="R95:Z95"/>
    <mergeCell ref="R96:Z96"/>
    <mergeCell ref="P97:P98"/>
    <mergeCell ref="Q97:Q98"/>
    <mergeCell ref="R97:Z97"/>
    <mergeCell ref="R98:Z98"/>
    <mergeCell ref="P91:P92"/>
    <mergeCell ref="Q91:Q92"/>
    <mergeCell ref="R91:Z91"/>
    <mergeCell ref="R92:Z92"/>
    <mergeCell ref="P93:P94"/>
    <mergeCell ref="Q93:Q94"/>
    <mergeCell ref="R93:Z93"/>
    <mergeCell ref="R94:Z94"/>
    <mergeCell ref="Q87:Q88"/>
    <mergeCell ref="R87:Z87"/>
    <mergeCell ref="R88:Z88"/>
    <mergeCell ref="P89:P90"/>
    <mergeCell ref="Q89:Q90"/>
    <mergeCell ref="R89:Z89"/>
    <mergeCell ref="R90:Z90"/>
    <mergeCell ref="C83:M88"/>
    <mergeCell ref="P83:P84"/>
    <mergeCell ref="Q83:Q84"/>
    <mergeCell ref="R83:Z83"/>
    <mergeCell ref="R84:Z84"/>
    <mergeCell ref="P85:P86"/>
    <mergeCell ref="Q85:Q86"/>
    <mergeCell ref="R85:Z85"/>
    <mergeCell ref="R86:Z86"/>
    <mergeCell ref="P87:P88"/>
    <mergeCell ref="R78:Z78"/>
    <mergeCell ref="P79:P80"/>
    <mergeCell ref="Q79:Q80"/>
    <mergeCell ref="R79:Z79"/>
    <mergeCell ref="R80:Z80"/>
    <mergeCell ref="C81:M82"/>
    <mergeCell ref="P81:P82"/>
    <mergeCell ref="Q81:Q82"/>
    <mergeCell ref="R81:Z81"/>
    <mergeCell ref="R82:Z82"/>
    <mergeCell ref="C73:M79"/>
    <mergeCell ref="R73:Z73"/>
    <mergeCell ref="R74:Z74"/>
    <mergeCell ref="P75:P76"/>
    <mergeCell ref="Q75:Q76"/>
    <mergeCell ref="R75:Z75"/>
    <mergeCell ref="R76:Z76"/>
    <mergeCell ref="P77:P78"/>
    <mergeCell ref="Q77:Q78"/>
    <mergeCell ref="R77:Z77"/>
    <mergeCell ref="C68:I68"/>
    <mergeCell ref="M68:R68"/>
    <mergeCell ref="S68:X68"/>
    <mergeCell ref="Y68:AD68"/>
    <mergeCell ref="C69:I69"/>
    <mergeCell ref="C71:M72"/>
    <mergeCell ref="P71:P72"/>
    <mergeCell ref="Q71:Q72"/>
    <mergeCell ref="R71:Z72"/>
    <mergeCell ref="C66:I66"/>
    <mergeCell ref="M66:R66"/>
    <mergeCell ref="S66:X66"/>
    <mergeCell ref="Y66:AD66"/>
    <mergeCell ref="C67:I67"/>
    <mergeCell ref="M67:R67"/>
    <mergeCell ref="S67:X67"/>
    <mergeCell ref="Y67:AD67"/>
    <mergeCell ref="C64:I64"/>
    <mergeCell ref="M64:R64"/>
    <mergeCell ref="S64:X64"/>
    <mergeCell ref="Y64:AD64"/>
    <mergeCell ref="C65:I65"/>
    <mergeCell ref="M65:R65"/>
    <mergeCell ref="S65:X65"/>
    <mergeCell ref="Y65:AD65"/>
    <mergeCell ref="C62:I62"/>
    <mergeCell ref="M62:R62"/>
    <mergeCell ref="S62:X62"/>
    <mergeCell ref="Y62:AD62"/>
    <mergeCell ref="C63:I63"/>
    <mergeCell ref="M63:R63"/>
    <mergeCell ref="S63:X63"/>
    <mergeCell ref="Y63:AD63"/>
    <mergeCell ref="C60:I60"/>
    <mergeCell ref="M60:R60"/>
    <mergeCell ref="S60:X60"/>
    <mergeCell ref="Y60:AD60"/>
    <mergeCell ref="C61:I61"/>
    <mergeCell ref="M61:R61"/>
    <mergeCell ref="S61:X61"/>
    <mergeCell ref="Y61:AD61"/>
    <mergeCell ref="C58:I58"/>
    <mergeCell ref="M58:R58"/>
    <mergeCell ref="S58:X58"/>
    <mergeCell ref="Y58:AD58"/>
    <mergeCell ref="C59:I59"/>
    <mergeCell ref="M59:R59"/>
    <mergeCell ref="S59:X59"/>
    <mergeCell ref="Y59:AD59"/>
    <mergeCell ref="C55:I55"/>
    <mergeCell ref="M55:R55"/>
    <mergeCell ref="S55:X55"/>
    <mergeCell ref="Y55:AD55"/>
    <mergeCell ref="C56:I56"/>
    <mergeCell ref="M56:R56"/>
    <mergeCell ref="S56:X56"/>
    <mergeCell ref="Y56:AD56"/>
    <mergeCell ref="C53:I53"/>
    <mergeCell ref="M53:R53"/>
    <mergeCell ref="S53:X53"/>
    <mergeCell ref="Y53:AD53"/>
    <mergeCell ref="C54:I54"/>
    <mergeCell ref="M54:R54"/>
    <mergeCell ref="S54:X54"/>
    <mergeCell ref="Y54:AD54"/>
    <mergeCell ref="C51:I51"/>
    <mergeCell ref="M51:R51"/>
    <mergeCell ref="S51:X51"/>
    <mergeCell ref="Y51:AD51"/>
    <mergeCell ref="C52:I52"/>
    <mergeCell ref="M52:R52"/>
    <mergeCell ref="S52:X52"/>
    <mergeCell ref="Y52:AD52"/>
    <mergeCell ref="C49:I49"/>
    <mergeCell ref="M49:R49"/>
    <mergeCell ref="S49:X49"/>
    <mergeCell ref="Y49:AD49"/>
    <mergeCell ref="C50:I50"/>
    <mergeCell ref="M50:R50"/>
    <mergeCell ref="S50:X50"/>
    <mergeCell ref="Y50:AD50"/>
    <mergeCell ref="C47:I47"/>
    <mergeCell ref="M47:R47"/>
    <mergeCell ref="S47:X47"/>
    <mergeCell ref="Y47:AD47"/>
    <mergeCell ref="C48:I48"/>
    <mergeCell ref="M48:R48"/>
    <mergeCell ref="S48:X48"/>
    <mergeCell ref="Y48:AD48"/>
    <mergeCell ref="C45:I45"/>
    <mergeCell ref="M45:R45"/>
    <mergeCell ref="S45:X45"/>
    <mergeCell ref="Y45:AD45"/>
    <mergeCell ref="C46:I46"/>
    <mergeCell ref="M46:R46"/>
    <mergeCell ref="S46:X46"/>
    <mergeCell ref="Y46:AD46"/>
    <mergeCell ref="C43:I43"/>
    <mergeCell ref="M43:R43"/>
    <mergeCell ref="S43:X43"/>
    <mergeCell ref="Y43:AD43"/>
    <mergeCell ref="C44:I44"/>
    <mergeCell ref="M44:R44"/>
    <mergeCell ref="S44:X44"/>
    <mergeCell ref="Y44:AD44"/>
    <mergeCell ref="C41:I41"/>
    <mergeCell ref="M41:R41"/>
    <mergeCell ref="S41:X41"/>
    <mergeCell ref="Y41:AD41"/>
    <mergeCell ref="C42:I42"/>
    <mergeCell ref="M42:R42"/>
    <mergeCell ref="S42:X42"/>
    <mergeCell ref="Y42:AD42"/>
    <mergeCell ref="C39:I39"/>
    <mergeCell ref="M39:R39"/>
    <mergeCell ref="S39:X39"/>
    <mergeCell ref="Y39:AD39"/>
    <mergeCell ref="C40:I40"/>
    <mergeCell ref="M40:R40"/>
    <mergeCell ref="S40:X40"/>
    <mergeCell ref="Y40:AD40"/>
    <mergeCell ref="C37:I37"/>
    <mergeCell ref="M37:R37"/>
    <mergeCell ref="S37:X37"/>
    <mergeCell ref="Y37:AD37"/>
    <mergeCell ref="C38:I38"/>
    <mergeCell ref="M38:R38"/>
    <mergeCell ref="S38:X38"/>
    <mergeCell ref="Y38:AD38"/>
    <mergeCell ref="C35:I35"/>
    <mergeCell ref="M35:R35"/>
    <mergeCell ref="S35:X35"/>
    <mergeCell ref="Y35:AD35"/>
    <mergeCell ref="C36:I36"/>
    <mergeCell ref="M36:R36"/>
    <mergeCell ref="S36:X36"/>
    <mergeCell ref="Y36:AD36"/>
    <mergeCell ref="C34:I34"/>
    <mergeCell ref="M34:R34"/>
    <mergeCell ref="S34:X34"/>
    <mergeCell ref="Y34:AD34"/>
    <mergeCell ref="N21:AD31"/>
    <mergeCell ref="C25:G25"/>
    <mergeCell ref="H25:H26"/>
    <mergeCell ref="I25:I26"/>
    <mergeCell ref="D26:F26"/>
    <mergeCell ref="D27:F27"/>
    <mergeCell ref="D28:F28"/>
    <mergeCell ref="D29:F29"/>
    <mergeCell ref="C30:F30"/>
    <mergeCell ref="D31:G31"/>
    <mergeCell ref="C14:F14"/>
    <mergeCell ref="N14:AD15"/>
    <mergeCell ref="C15:F15"/>
    <mergeCell ref="N16:AD20"/>
    <mergeCell ref="C17:I17"/>
    <mergeCell ref="C18:G18"/>
    <mergeCell ref="C33:I33"/>
    <mergeCell ref="M33:R33"/>
    <mergeCell ref="S33:X33"/>
    <mergeCell ref="Y33:AD33"/>
  </mergeCells>
  <conditionalFormatting sqref="C19:G23">
    <cfRule type="expression" dxfId="19" priority="4">
      <formula>TRIM($C19)=""</formula>
    </cfRule>
  </conditionalFormatting>
  <conditionalFormatting sqref="H27:I31">
    <cfRule type="expression" dxfId="18" priority="5">
      <formula>AND(H27&lt;&gt;"",H27="A+")</formula>
    </cfRule>
    <cfRule type="expression" dxfId="17" priority="6">
      <formula>AND(H27&lt;&gt;"",OR(H27="A-",H27="A"))</formula>
    </cfRule>
    <cfRule type="expression" dxfId="16" priority="7">
      <formula>AND(H27&lt;&gt;"",OR(H27="B-",H27="B",H27="B+"))</formula>
    </cfRule>
    <cfRule type="expression" dxfId="15" priority="8">
      <formula>AND(H27&lt;&gt;"",OR(H27="C-",H27="C",H27="C+"))</formula>
    </cfRule>
    <cfRule type="expression" dxfId="14" priority="9">
      <formula>AND(H27&lt;&gt;"",H27="D+")</formula>
    </cfRule>
    <cfRule type="expression" dxfId="13" priority="10">
      <formula>AND(H27&lt;&gt;"",H27="D")</formula>
    </cfRule>
    <cfRule type="expression" dxfId="12" priority="11">
      <formula>AND(H27&lt;&gt;"",H27="E")</formula>
    </cfRule>
  </conditionalFormatting>
  <conditionalFormatting sqref="C19:I23">
    <cfRule type="expression" priority="3" stopIfTrue="1">
      <formula>ROW(C19)&lt;=_xlfn.NUMBERVALUE($I$11)+NbEtud-1</formula>
    </cfRule>
  </conditionalFormatting>
  <conditionalFormatting sqref="H19:I23 H31:I31 H27:I29">
    <cfRule type="containsBlanks" dxfId="11" priority="1">
      <formula>LEN(TRIM(H19))=0</formula>
    </cfRule>
  </conditionalFormatting>
  <conditionalFormatting sqref="J66:J68">
    <cfRule type="expression" dxfId="10" priority="2">
      <formula>$J66&gt;0</formula>
    </cfRule>
  </conditionalFormatting>
  <conditionalFormatting sqref="S44:X68 S34:X41">
    <cfRule type="expression" dxfId="9" priority="12" stopIfTrue="1">
      <formula>LEFT($A34,1)="P"</formula>
    </cfRule>
  </conditionalFormatting>
  <conditionalFormatting sqref="J44:J65 M44:X68 J34:J41 M34:X41">
    <cfRule type="expression" dxfId="8" priority="13" stopIfTrue="1">
      <formula>AND(LEFT($A34,1)="P",VALUE(LEFT($M34,1))=1)</formula>
    </cfRule>
    <cfRule type="expression" dxfId="7" priority="14" stopIfTrue="1">
      <formula>OR(AND(LEFT($A34,1)="Q",VALUE(LEFT($M34,1))=0),AND(LEFT($A34,1)="P",VALUE(LEFT($M34,1))=4))</formula>
    </cfRule>
    <cfRule type="expression" dxfId="6" priority="15" stopIfTrue="1">
      <formula>OR(AND(LEFT($A34,1)="Q",VALUE(LEFT($M34,1))=1),AND(LEFT($A34,1)="P",VALUE(LEFT($M34,1))=3))</formula>
    </cfRule>
    <cfRule type="expression" dxfId="5" priority="16" stopIfTrue="1">
      <formula>VALUE(LEFT($M34,1))=2</formula>
    </cfRule>
    <cfRule type="expression" dxfId="4" priority="17">
      <formula>AND(LEFT($A34,1)="Q",VALUE(LEFT($M34,1))=3)</formula>
    </cfRule>
    <cfRule type="expression" dxfId="3" priority="18">
      <formula>AND(LEFT($A34,1)="Q",VALUE(LEFT($M34,1))=4)</formula>
    </cfRule>
    <cfRule type="expression" dxfId="2" priority="19">
      <formula>AND(LEFT($A34,1)="Q",VALUE(LEFT($M34,1))=5)</formula>
    </cfRule>
    <cfRule type="expression" dxfId="1" priority="20">
      <formula>AND(LEFT($A34,1)="Q",VALUE(LEFT($M34,1))=6)</formula>
    </cfRule>
  </conditionalFormatting>
  <conditionalFormatting sqref="J44:J65 J34:J41">
    <cfRule type="expression" dxfId="0" priority="21" stopIfTrue="1">
      <formula>AND(LEFT($A34,1)="P",$J34=0)</formula>
    </cfRule>
  </conditionalFormatting>
  <dataValidations count="1">
    <dataValidation type="list" allowBlank="1" showInputMessage="1" showErrorMessage="1" sqref="M44:R45 M48:R51 M53:R57 M64:R64 M59:R62 M36:R38 M40:R41" xr:uid="{C28184F6-FE43-43D6-B0BD-2AAFD1BB1C62}">
      <formula1>INDIRECT("Scale"&amp;$A36)</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6C80BDBB5B64499CD51EA6A8A80902" ma:contentTypeVersion="10" ma:contentTypeDescription="Create a new document." ma:contentTypeScope="" ma:versionID="b525470d5522d4146ea458ddcccb7c14">
  <xsd:schema xmlns:xsd="http://www.w3.org/2001/XMLSchema" xmlns:xs="http://www.w3.org/2001/XMLSchema" xmlns:p="http://schemas.microsoft.com/office/2006/metadata/properties" xmlns:ns2="535b3e77-18ef-4052-a4c8-5f8b55bdab1f" xmlns:ns3="cd58ecc5-d464-42d0-bbf9-030f8ebce5aa" targetNamespace="http://schemas.microsoft.com/office/2006/metadata/properties" ma:root="true" ma:fieldsID="3a8f57d4d11592e724f799b5b621ffac" ns2:_="" ns3:_="">
    <xsd:import namespace="535b3e77-18ef-4052-a4c8-5f8b55bdab1f"/>
    <xsd:import namespace="cd58ecc5-d464-42d0-bbf9-030f8ebce5a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5b3e77-18ef-4052-a4c8-5f8b55bdab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ae0b311d-aef2-47fc-9a4e-3c9c045afdca"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d58ecc5-d464-42d0-bbf9-030f8ebce5a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8413a7e2-df0b-47e9-9333-152f71a137c9}" ma:internalName="TaxCatchAll" ma:showField="CatchAllData" ma:web="cd58ecc5-d464-42d0-bbf9-030f8ebce5a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35b3e77-18ef-4052-a4c8-5f8b55bdab1f">
      <Terms xmlns="http://schemas.microsoft.com/office/infopath/2007/PartnerControls"/>
    </lcf76f155ced4ddcb4097134ff3c332f>
    <TaxCatchAll xmlns="cd58ecc5-d464-42d0-bbf9-030f8ebce5aa"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EBB164-1053-4A3B-BB6C-ABCA8C330D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5b3e77-18ef-4052-a4c8-5f8b55bdab1f"/>
    <ds:schemaRef ds:uri="cd58ecc5-d464-42d0-bbf9-030f8ebce5a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1056BB-B7DA-4112-A7DD-AE573244A4E8}">
  <ds:schemaRefs>
    <ds:schemaRef ds:uri="http://schemas.microsoft.com/office/2006/metadata/properties"/>
    <ds:schemaRef ds:uri="http://schemas.microsoft.com/office/infopath/2007/PartnerControls"/>
    <ds:schemaRef ds:uri="5b446652-b7a6-491a-a629-08742e0ae113"/>
    <ds:schemaRef ds:uri="0f13b13b-b460-4ce2-9939-40e7f3537f29"/>
    <ds:schemaRef ds:uri="535b3e77-18ef-4052-a4c8-5f8b55bdab1f"/>
    <ds:schemaRef ds:uri="cd58ecc5-d464-42d0-bbf9-030f8ebce5aa"/>
  </ds:schemaRefs>
</ds:datastoreItem>
</file>

<file path=customXml/itemProps3.xml><?xml version="1.0" encoding="utf-8"?>
<ds:datastoreItem xmlns:ds="http://schemas.openxmlformats.org/officeDocument/2006/customXml" ds:itemID="{917B8E24-620E-4328-AD68-30B3C6F88C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2</vt:i4>
      </vt:variant>
    </vt:vector>
  </HeadingPairs>
  <TitlesOfParts>
    <vt:vector size="11" baseType="lpstr">
      <vt:lpstr>Identification</vt:lpstr>
      <vt:lpstr>Données</vt:lpstr>
      <vt:lpstr>Données du Modèle</vt:lpstr>
      <vt:lpstr>Option 1</vt:lpstr>
      <vt:lpstr>Option 2</vt:lpstr>
      <vt:lpstr>Comparaison</vt:lpstr>
      <vt:lpstr>Diagrammes et Graphiques</vt:lpstr>
      <vt:lpstr>TCD</vt:lpstr>
      <vt:lpstr>Grille de correction</vt:lpstr>
      <vt:lpstr>Liste</vt:lpstr>
      <vt:lpstr>Liste!Macro_Erase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Josué Djossou</dc:creator>
  <cp:keywords/>
  <dc:description/>
  <cp:lastModifiedBy>Estha Wamonakeba Tshiya</cp:lastModifiedBy>
  <cp:revision/>
  <dcterms:created xsi:type="dcterms:W3CDTF">2022-01-28T00:40:24Z</dcterms:created>
  <dcterms:modified xsi:type="dcterms:W3CDTF">2025-12-18T18:27:36Z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0x010100DB6C80BDBB5B64499CD51EA6A8A80902</vt:lpwstr>
  </property>
  <property fmtid="{D5CDD505-2E9C-101B-9397-08002B2CF9AE}" pid="3" name="MediaServiceImageTags">
    <vt:lpwstr/>
  </property>
</Properties>
</file>